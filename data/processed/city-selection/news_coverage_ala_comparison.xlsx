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hod" sheetId="2" state="visible" r:id="rId2"/>
    <sheet name="States" sheetId="3" state="visible" r:id="rId3"/>
  </sheets>
  <definedNames>
    <definedName name="_xlnm._FilterDatabase" localSheetId="0" hidden="1">'Comparison'!$A$1:$AE$37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1F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2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EDEDED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Claude</author>
  </authors>
  <commentList>
    <comment ref="E1" authorId="0" shapeId="0">
      <text>
        <t>Source: American Lung Association, State of the Air 2026, as provided by the user (news_coverage_by_state_cross_pm.numbers). Blank = not ranked in short-term list; pollution_score then uses year-round rank only.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7" customWidth="1" min="3" max="3"/>
    <col width="34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  <col width="16" customWidth="1" min="10" max="10"/>
    <col width="3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40" customWidth="1" min="17" max="17"/>
    <col width="16" customWidth="1" min="18" max="18"/>
    <col width="3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26" customWidth="1" min="26" max="26"/>
    <col width="26" customWidth="1" min="27" max="27"/>
    <col width="26" customWidth="1" min="28" max="28"/>
    <col width="16" customWidth="1" min="29" max="29"/>
    <col width="48" customWidth="1" min="30" max="30"/>
    <col width="48" customWidth="1" min="31" max="31"/>
  </cols>
  <sheetData>
    <row r="1" ht="45" customHeight="1">
      <c r="A1" s="1" t="inlineStr">
        <is>
          <t>#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metro_area</t>
        </is>
      </c>
      <c r="E1" s="2" t="inlineStr">
        <is>
          <t>ala_shortterm_pm25_rank_2026</t>
        </is>
      </c>
      <c r="F1" s="2" t="inlineStr">
        <is>
          <t>ala_yearlong_pm25_rank_2026</t>
        </is>
      </c>
      <c r="G1" s="2" t="inlineStr">
        <is>
          <t>pollution_score (avg of ALA ranks)</t>
        </is>
      </c>
      <c r="H1" s="2" t="inlineStr">
        <is>
          <t>pollution_group</t>
        </is>
      </c>
      <c r="I1" s="3" t="inlineStr">
        <is>
          <t>state_query</t>
        </is>
      </c>
      <c r="J1" s="3" t="inlineStr">
        <is>
          <t>state_collection_id_cs</t>
        </is>
      </c>
      <c r="K1" s="3" t="inlineStr">
        <is>
          <t>state_collection_name</t>
        </is>
      </c>
      <c r="L1" s="3" t="inlineStr">
        <is>
          <t>state_total_sources</t>
        </is>
      </c>
      <c r="M1" s="3" t="inlineStr">
        <is>
          <t>state_total_stories</t>
        </is>
      </c>
      <c r="N1" s="3" t="inlineStr">
        <is>
          <t>state_index (stories/sources)</t>
        </is>
      </c>
      <c r="O1" s="3" t="inlineStr">
        <is>
          <t>state_coverage_rank</t>
        </is>
      </c>
      <c r="P1" s="3" t="inlineStr">
        <is>
          <t>state_coverage_group</t>
        </is>
      </c>
      <c r="Q1" s="4" t="inlineStr">
        <is>
          <t>city_query</t>
        </is>
      </c>
      <c r="R1" s="4" t="inlineStr">
        <is>
          <t>city_collection_id_cs</t>
        </is>
      </c>
      <c r="S1" s="4" t="inlineStr">
        <is>
          <t>city_collection_name</t>
        </is>
      </c>
      <c r="T1" s="4" t="inlineStr">
        <is>
          <t>city_total_sources</t>
        </is>
      </c>
      <c r="U1" s="4" t="inlineStr">
        <is>
          <t>city_total_stories</t>
        </is>
      </c>
      <c r="V1" s="4" t="inlineStr">
        <is>
          <t>city_index (stories/sources)</t>
        </is>
      </c>
      <c r="W1" s="4" t="inlineStr">
        <is>
          <t>city_coverage_rank</t>
        </is>
      </c>
      <c r="X1" s="4" t="inlineStr">
        <is>
          <t>city_coverage_group</t>
        </is>
      </c>
      <c r="Y1" s="5" t="inlineStr">
        <is>
          <t>rank_change (state rank − city rank)</t>
        </is>
      </c>
      <c r="Z1" s="5" t="inlineStr">
        <is>
          <t>quadrant_state_level</t>
        </is>
      </c>
      <c r="AA1" s="5" t="inlineStr">
        <is>
          <t>quadrant_city_level</t>
        </is>
      </c>
      <c r="AB1" s="5" t="inlineStr">
        <is>
          <t>quadrant_changed?</t>
        </is>
      </c>
      <c r="AC1" s="6" t="inlineStr">
        <is>
          <t>city_ambiguity_note</t>
        </is>
      </c>
      <c r="AD1" s="6" t="inlineStr">
        <is>
          <t>state_API_request_URL</t>
        </is>
      </c>
      <c r="AE1" s="6" t="inlineStr">
        <is>
          <t>city_API_request_URL</t>
        </is>
      </c>
    </row>
    <row r="2">
      <c r="A2" s="7" t="n">
        <v>1</v>
      </c>
      <c r="B2" s="8" t="inlineStr">
        <is>
          <t>Bakersfield</t>
        </is>
      </c>
      <c r="C2" s="8" t="inlineStr">
        <is>
          <t>CA</t>
        </is>
      </c>
      <c r="D2" s="7" t="inlineStr">
        <is>
          <t>Bakersfield-Delano, CA</t>
        </is>
      </c>
      <c r="E2" s="9" t="n">
        <v>3</v>
      </c>
      <c r="F2" s="9" t="n">
        <v>1</v>
      </c>
      <c r="G2" s="10">
        <f>AVERAGE(E2:F2)</f>
        <v/>
      </c>
      <c r="H2" s="7">
        <f>IF(G2&lt;=Method!$B$4,"High pollution","Low pollution")</f>
        <v/>
      </c>
      <c r="I2" s="7" t="inlineStr">
        <is>
          <t>"air pollution" OR "air quality"</t>
        </is>
      </c>
      <c r="J2" s="7" t="n">
        <v>38380550</v>
      </c>
      <c r="K2" s="7" t="inlineStr">
        <is>
          <t>California, United States -State &amp; Local</t>
        </is>
      </c>
      <c r="L2" s="7" t="n">
        <v>1283</v>
      </c>
      <c r="M2" s="7" t="n">
        <v>26181</v>
      </c>
      <c r="N2" s="10">
        <f>M2/L2</f>
        <v/>
      </c>
      <c r="O2" s="7">
        <f>RANK(N2,$N$2:$N$37,0)</f>
        <v/>
      </c>
      <c r="P2" s="7">
        <f>IF(N2&gt;=Method!$B$5,"High coverage","Low coverage")</f>
        <v/>
      </c>
      <c r="Q2" s="7" t="inlineStr">
        <is>
          <t>("air pollution" OR "air quality") AND "Bakersfield"</t>
        </is>
      </c>
      <c r="R2" s="7" t="n">
        <v>38380550</v>
      </c>
      <c r="S2" s="7" t="inlineStr">
        <is>
          <t>California, United States -State &amp; Local</t>
        </is>
      </c>
      <c r="T2" s="7" t="n">
        <v>1283</v>
      </c>
      <c r="U2" s="7" t="n">
        <v>305</v>
      </c>
      <c r="V2" s="10">
        <f>U2/T2</f>
        <v/>
      </c>
      <c r="W2" s="7">
        <f>RANK(V2,$V$2:$V$37,0)</f>
        <v/>
      </c>
      <c r="X2" s="7">
        <f>IF(V2&gt;=Method!$B$6,"High coverage","Low coverage")</f>
        <v/>
      </c>
      <c r="Y2" s="7">
        <f>O2-W2</f>
        <v/>
      </c>
      <c r="Z2" s="7">
        <f>H2&amp;" / "&amp;P2</f>
        <v/>
      </c>
      <c r="AA2" s="7">
        <f>H2&amp;" / "&amp;X2</f>
        <v/>
      </c>
      <c r="AB2" s="7">
        <f>IF(Z2=AA2,"No","Yes")</f>
        <v/>
      </c>
      <c r="AC2" s="7" t="inlineStr"/>
      <c r="AD2" s="7" t="inlineStr">
        <is>
          <t>https://search.mediacloud.org/api/search/total-count?q="air pollution" OR "air quality"&amp;start=2024-09-25&amp;end=2026-09-25&amp;cs=38380550&amp;platform=onlinenews-mediacloud</t>
        </is>
      </c>
      <c r="AE2" s="7" t="inlineStr">
        <is>
          <t>https://search.mediacloud.org/api/search/total-count?q=%28%22air+pollution%22+OR+%22air+quality%22%29+AND+%22Bakersfield%22&amp;start=2024-09-25&amp;end=2026-09-25&amp;cs=38380550&amp;platform=onlinenews-mediacloud</t>
        </is>
      </c>
    </row>
    <row r="3">
      <c r="A3" s="7" t="n">
        <v>2</v>
      </c>
      <c r="B3" s="8" t="inlineStr">
        <is>
          <t>Delano</t>
        </is>
      </c>
      <c r="C3" s="8" t="inlineStr">
        <is>
          <t>CA</t>
        </is>
      </c>
      <c r="D3" s="7" t="inlineStr">
        <is>
          <t>Bakersfield-Delano, CA</t>
        </is>
      </c>
      <c r="E3" s="9" t="n">
        <v>3</v>
      </c>
      <c r="F3" s="9" t="n">
        <v>1</v>
      </c>
      <c r="G3" s="10">
        <f>AVERAGE(E3:F3)</f>
        <v/>
      </c>
      <c r="H3" s="7">
        <f>IF(G3&lt;=Method!$B$4,"High pollution","Low pollution")</f>
        <v/>
      </c>
      <c r="I3" s="7" t="inlineStr">
        <is>
          <t>"air pollution" OR "air quality"</t>
        </is>
      </c>
      <c r="J3" s="7" t="n">
        <v>38380550</v>
      </c>
      <c r="K3" s="7" t="inlineStr">
        <is>
          <t>California, United States -State &amp; Local</t>
        </is>
      </c>
      <c r="L3" s="7" t="n">
        <v>1283</v>
      </c>
      <c r="M3" s="7" t="n">
        <v>26181</v>
      </c>
      <c r="N3" s="10">
        <f>M3/L3</f>
        <v/>
      </c>
      <c r="O3" s="7">
        <f>RANK(N3,$N$2:$N$37,0)</f>
        <v/>
      </c>
      <c r="P3" s="7">
        <f>IF(N3&gt;=Method!$B$5,"High coverage","Low coverage")</f>
        <v/>
      </c>
      <c r="Q3" s="7" t="inlineStr">
        <is>
          <t>("air pollution" OR "air quality") AND "Delano"</t>
        </is>
      </c>
      <c r="R3" s="7" t="n">
        <v>38380550</v>
      </c>
      <c r="S3" s="7" t="inlineStr">
        <is>
          <t>California, United States -State &amp; Local</t>
        </is>
      </c>
      <c r="T3" s="7" t="n">
        <v>1283</v>
      </c>
      <c r="U3" s="7" t="n">
        <v>43</v>
      </c>
      <c r="V3" s="10">
        <f>U3/T3</f>
        <v/>
      </c>
      <c r="W3" s="7">
        <f>RANK(V3,$V$2:$V$37,0)</f>
        <v/>
      </c>
      <c r="X3" s="7">
        <f>IF(V3&gt;=Method!$B$6,"High coverage","Low coverage")</f>
        <v/>
      </c>
      <c r="Y3" s="7">
        <f>O3-W3</f>
        <v/>
      </c>
      <c r="Z3" s="7">
        <f>H3&amp;" / "&amp;P3</f>
        <v/>
      </c>
      <c r="AA3" s="7">
        <f>H3&amp;" / "&amp;X3</f>
        <v/>
      </c>
      <c r="AB3" s="7">
        <f>IF(Z3=AA3,"No","Yes")</f>
        <v/>
      </c>
      <c r="AC3" s="7" t="inlineStr">
        <is>
          <t>Also a surname</t>
        </is>
      </c>
      <c r="AD3" s="7" t="inlineStr">
        <is>
          <t>https://search.mediacloud.org/api/search/total-count?q="air pollution" OR "air quality"&amp;start=2024-09-25&amp;end=2026-09-25&amp;cs=38380550&amp;platform=onlinenews-mediacloud</t>
        </is>
      </c>
      <c r="AE3" s="7" t="inlineStr">
        <is>
          <t>https://search.mediacloud.org/api/search/total-count?q=%28%22air+pollution%22+OR+%22air+quality%22%29+AND+%22Delano%22&amp;start=2024-09-25&amp;end=2026-09-25&amp;cs=38380550&amp;platform=onlinenews-mediacloud</t>
        </is>
      </c>
    </row>
    <row r="4">
      <c r="A4" s="7" t="n">
        <v>3</v>
      </c>
      <c r="B4" s="8" t="inlineStr">
        <is>
          <t>Eugene</t>
        </is>
      </c>
      <c r="C4" s="8" t="inlineStr">
        <is>
          <t>OR</t>
        </is>
      </c>
      <c r="D4" s="7" t="inlineStr">
        <is>
          <t>Eugene-Springfield, OR</t>
        </is>
      </c>
      <c r="E4" s="9" t="n">
        <v>2</v>
      </c>
      <c r="F4" s="9" t="n">
        <v>3</v>
      </c>
      <c r="G4" s="10">
        <f>AVERAGE(E4:F4)</f>
        <v/>
      </c>
      <c r="H4" s="7">
        <f>IF(G4&lt;=Method!$B$4,"High pollution","Low pollution")</f>
        <v/>
      </c>
      <c r="I4" s="7" t="inlineStr">
        <is>
          <t>"air pollution" OR "air quality"</t>
        </is>
      </c>
      <c r="J4" s="7" t="n">
        <v>38381398</v>
      </c>
      <c r="K4" s="7" t="inlineStr">
        <is>
          <t>Oregon, United States - State &amp; Local</t>
        </is>
      </c>
      <c r="L4" s="7" t="n">
        <v>145</v>
      </c>
      <c r="M4" s="7" t="n">
        <v>1845</v>
      </c>
      <c r="N4" s="10">
        <f>M4/L4</f>
        <v/>
      </c>
      <c r="O4" s="7">
        <f>RANK(N4,$N$2:$N$37,0)</f>
        <v/>
      </c>
      <c r="P4" s="7">
        <f>IF(N4&gt;=Method!$B$5,"High coverage","Low coverage")</f>
        <v/>
      </c>
      <c r="Q4" s="7" t="inlineStr">
        <is>
          <t>("air pollution" OR "air quality") AND "Eugene"</t>
        </is>
      </c>
      <c r="R4" s="7" t="n">
        <v>38381398</v>
      </c>
      <c r="S4" s="7" t="inlineStr">
        <is>
          <t>Oregon, United States - State &amp; Local</t>
        </is>
      </c>
      <c r="T4" s="7" t="n">
        <v>145</v>
      </c>
      <c r="U4" s="7" t="n">
        <v>81</v>
      </c>
      <c r="V4" s="10">
        <f>U4/T4</f>
        <v/>
      </c>
      <c r="W4" s="7">
        <f>RANK(V4,$V$2:$V$37,0)</f>
        <v/>
      </c>
      <c r="X4" s="7">
        <f>IF(V4&gt;=Method!$B$6,"High coverage","Low coverage")</f>
        <v/>
      </c>
      <c r="Y4" s="7">
        <f>O4-W4</f>
        <v/>
      </c>
      <c r="Z4" s="7">
        <f>H4&amp;" / "&amp;P4</f>
        <v/>
      </c>
      <c r="AA4" s="7">
        <f>H4&amp;" / "&amp;X4</f>
        <v/>
      </c>
      <c r="AB4" s="7">
        <f>IF(Z4=AA4,"No","Yes")</f>
        <v/>
      </c>
      <c r="AC4" s="7" t="inlineStr"/>
      <c r="AD4" s="7" t="inlineStr">
        <is>
          <t>https://search.mediacloud.org/api/search/total-count?q="air pollution" OR "air quality"&amp;start=2024-09-25&amp;end=2026-09-25&amp;cs=38381398&amp;platform=onlinenews-mediacloud</t>
        </is>
      </c>
      <c r="AE4" s="7" t="inlineStr">
        <is>
          <t>https://search.mediacloud.org/api/search/total-count?q=%28%22air+pollution%22+OR+%22air+quality%22%29+AND+%22Eugene%22&amp;start=2024-09-25&amp;end=2026-09-25&amp;cs=38381398&amp;platform=onlinenews-mediacloud</t>
        </is>
      </c>
    </row>
    <row r="5">
      <c r="A5" s="7" t="n">
        <v>4</v>
      </c>
      <c r="B5" s="8" t="inlineStr">
        <is>
          <t>Springfield</t>
        </is>
      </c>
      <c r="C5" s="8" t="inlineStr">
        <is>
          <t>OR</t>
        </is>
      </c>
      <c r="D5" s="7" t="inlineStr">
        <is>
          <t>Eugene-Springfield, OR</t>
        </is>
      </c>
      <c r="E5" s="9" t="n">
        <v>2</v>
      </c>
      <c r="F5" s="9" t="n">
        <v>3</v>
      </c>
      <c r="G5" s="10">
        <f>AVERAGE(E5:F5)</f>
        <v/>
      </c>
      <c r="H5" s="7">
        <f>IF(G5&lt;=Method!$B$4,"High pollution","Low pollution")</f>
        <v/>
      </c>
      <c r="I5" s="7" t="inlineStr">
        <is>
          <t>"air pollution" OR "air quality"</t>
        </is>
      </c>
      <c r="J5" s="7" t="n">
        <v>38381398</v>
      </c>
      <c r="K5" s="7" t="inlineStr">
        <is>
          <t>Oregon, United States - State &amp; Local</t>
        </is>
      </c>
      <c r="L5" s="7" t="n">
        <v>145</v>
      </c>
      <c r="M5" s="7" t="n">
        <v>1845</v>
      </c>
      <c r="N5" s="10">
        <f>M5/L5</f>
        <v/>
      </c>
      <c r="O5" s="7">
        <f>RANK(N5,$N$2:$N$37,0)</f>
        <v/>
      </c>
      <c r="P5" s="7">
        <f>IF(N5&gt;=Method!$B$5,"High coverage","Low coverage")</f>
        <v/>
      </c>
      <c r="Q5" s="7" t="inlineStr">
        <is>
          <t>("air pollution" OR "air quality") AND "Springfield"</t>
        </is>
      </c>
      <c r="R5" s="7" t="n">
        <v>38381398</v>
      </c>
      <c r="S5" s="7" t="inlineStr">
        <is>
          <t>Oregon, United States - State &amp; Local</t>
        </is>
      </c>
      <c r="T5" s="7" t="n">
        <v>145</v>
      </c>
      <c r="U5" s="7" t="n">
        <v>45</v>
      </c>
      <c r="V5" s="10">
        <f>U5/T5</f>
        <v/>
      </c>
      <c r="W5" s="7">
        <f>RANK(V5,$V$2:$V$37,0)</f>
        <v/>
      </c>
      <c r="X5" s="7">
        <f>IF(V5&gt;=Method!$B$6,"High coverage","Low coverage")</f>
        <v/>
      </c>
      <c r="Y5" s="7">
        <f>O5-W5</f>
        <v/>
      </c>
      <c r="Z5" s="7">
        <f>H5&amp;" / "&amp;P5</f>
        <v/>
      </c>
      <c r="AA5" s="7">
        <f>H5&amp;" / "&amp;X5</f>
        <v/>
      </c>
      <c r="AB5" s="7">
        <f>IF(Z5=AA5,"No","Yes")</f>
        <v/>
      </c>
      <c r="AC5" s="7" t="inlineStr">
        <is>
          <t>Also a city in IL/MA/MO</t>
        </is>
      </c>
      <c r="AD5" s="7" t="inlineStr">
        <is>
          <t>https://search.mediacloud.org/api/search/total-count?q="air pollution" OR "air quality"&amp;start=2024-09-25&amp;end=2026-09-25&amp;cs=38381398&amp;platform=onlinenews-mediacloud</t>
        </is>
      </c>
      <c r="AE5" s="7" t="inlineStr">
        <is>
          <t>https://search.mediacloud.org/api/search/total-count?q=%28%22air+pollution%22+OR+%22air+quality%22%29+AND+%22Springfield%22&amp;start=2024-09-25&amp;end=2026-09-25&amp;cs=38381398&amp;platform=onlinenews-mediacloud</t>
        </is>
      </c>
    </row>
    <row r="6">
      <c r="A6" s="7" t="n">
        <v>5</v>
      </c>
      <c r="B6" s="8" t="inlineStr">
        <is>
          <t>Brownsville</t>
        </is>
      </c>
      <c r="C6" s="8" t="inlineStr">
        <is>
          <t>TX</t>
        </is>
      </c>
      <c r="D6" s="7" t="inlineStr">
        <is>
          <t>Brownsville-Harlingen-Raymondville, TX</t>
        </is>
      </c>
      <c r="E6" s="9" t="n">
        <v>4</v>
      </c>
      <c r="F6" s="9" t="n">
        <v>2</v>
      </c>
      <c r="G6" s="10">
        <f>AVERAGE(E6:F6)</f>
        <v/>
      </c>
      <c r="H6" s="7">
        <f>IF(G6&lt;=Method!$B$4,"High pollution","Low pollution")</f>
        <v/>
      </c>
      <c r="I6" s="7" t="inlineStr">
        <is>
          <t>"air pollution" OR "air quality"</t>
        </is>
      </c>
      <c r="J6" s="7" t="n">
        <v>38381323</v>
      </c>
      <c r="K6" s="7" t="inlineStr">
        <is>
          <t>Texas, United States - State &amp; Local</t>
        </is>
      </c>
      <c r="L6" s="7" t="n">
        <v>593</v>
      </c>
      <c r="M6" s="7" t="n">
        <v>6474</v>
      </c>
      <c r="N6" s="10">
        <f>M6/L6</f>
        <v/>
      </c>
      <c r="O6" s="7">
        <f>RANK(N6,$N$2:$N$37,0)</f>
        <v/>
      </c>
      <c r="P6" s="7">
        <f>IF(N6&gt;=Method!$B$5,"High coverage","Low coverage")</f>
        <v/>
      </c>
      <c r="Q6" s="7" t="inlineStr">
        <is>
          <t>("air pollution" OR "air quality") AND "Brownsville"</t>
        </is>
      </c>
      <c r="R6" s="7" t="n">
        <v>38381323</v>
      </c>
      <c r="S6" s="7" t="inlineStr">
        <is>
          <t>Texas, United States - State &amp; Local</t>
        </is>
      </c>
      <c r="T6" s="7" t="n">
        <v>593</v>
      </c>
      <c r="U6" s="7" t="n">
        <v>30</v>
      </c>
      <c r="V6" s="10">
        <f>U6/T6</f>
        <v/>
      </c>
      <c r="W6" s="7">
        <f>RANK(V6,$V$2:$V$37,0)</f>
        <v/>
      </c>
      <c r="X6" s="7">
        <f>IF(V6&gt;=Method!$B$6,"High coverage","Low coverage")</f>
        <v/>
      </c>
      <c r="Y6" s="7">
        <f>O6-W6</f>
        <v/>
      </c>
      <c r="Z6" s="7">
        <f>H6&amp;" / "&amp;P6</f>
        <v/>
      </c>
      <c r="AA6" s="7">
        <f>H6&amp;" / "&amp;X6</f>
        <v/>
      </c>
      <c r="AB6" s="7">
        <f>IF(Z6=AA6,"No","Yes")</f>
        <v/>
      </c>
      <c r="AC6" s="7" t="inlineStr"/>
      <c r="AD6" s="7" t="inlineStr">
        <is>
          <t>https://search.mediacloud.org/api/search/total-count?q="air pollution" OR "air quality"&amp;start=2024-09-25&amp;end=2026-09-25&amp;cs=38381323&amp;platform=onlinenews-mediacloud</t>
        </is>
      </c>
      <c r="AE6" s="7" t="inlineStr">
        <is>
          <t>https://search.mediacloud.org/api/search/total-count?q=%28%22air+pollution%22+OR+%22air+quality%22%29+AND+%22Brownsville%22&amp;start=2024-09-25&amp;end=2026-09-25&amp;cs=38381323&amp;platform=onlinenews-mediacloud</t>
        </is>
      </c>
    </row>
    <row r="7">
      <c r="A7" s="7" t="n">
        <v>6</v>
      </c>
      <c r="B7" s="8" t="inlineStr">
        <is>
          <t>Harlingen</t>
        </is>
      </c>
      <c r="C7" s="8" t="inlineStr">
        <is>
          <t>TX</t>
        </is>
      </c>
      <c r="D7" s="7" t="inlineStr">
        <is>
          <t>Brownsville-Harlingen-Raymondville, TX</t>
        </is>
      </c>
      <c r="E7" s="9" t="n">
        <v>4</v>
      </c>
      <c r="F7" s="9" t="n">
        <v>2</v>
      </c>
      <c r="G7" s="10">
        <f>AVERAGE(E7:F7)</f>
        <v/>
      </c>
      <c r="H7" s="7">
        <f>IF(G7&lt;=Method!$B$4,"High pollution","Low pollution")</f>
        <v/>
      </c>
      <c r="I7" s="7" t="inlineStr">
        <is>
          <t>"air pollution" OR "air quality"</t>
        </is>
      </c>
      <c r="J7" s="7" t="n">
        <v>38381323</v>
      </c>
      <c r="K7" s="7" t="inlineStr">
        <is>
          <t>Texas, United States - State &amp; Local</t>
        </is>
      </c>
      <c r="L7" s="7" t="n">
        <v>593</v>
      </c>
      <c r="M7" s="7" t="n">
        <v>6474</v>
      </c>
      <c r="N7" s="10">
        <f>M7/L7</f>
        <v/>
      </c>
      <c r="O7" s="7">
        <f>RANK(N7,$N$2:$N$37,0)</f>
        <v/>
      </c>
      <c r="P7" s="7">
        <f>IF(N7&gt;=Method!$B$5,"High coverage","Low coverage")</f>
        <v/>
      </c>
      <c r="Q7" s="7" t="inlineStr">
        <is>
          <t>("air pollution" OR "air quality") AND "Harlingen"</t>
        </is>
      </c>
      <c r="R7" s="7" t="n">
        <v>38381323</v>
      </c>
      <c r="S7" s="7" t="inlineStr">
        <is>
          <t>Texas, United States - State &amp; Local</t>
        </is>
      </c>
      <c r="T7" s="7" t="n">
        <v>593</v>
      </c>
      <c r="U7" s="7" t="n">
        <v>20</v>
      </c>
      <c r="V7" s="10">
        <f>U7/T7</f>
        <v/>
      </c>
      <c r="W7" s="7">
        <f>RANK(V7,$V$2:$V$37,0)</f>
        <v/>
      </c>
      <c r="X7" s="7">
        <f>IF(V7&gt;=Method!$B$6,"High coverage","Low coverage")</f>
        <v/>
      </c>
      <c r="Y7" s="7">
        <f>O7-W7</f>
        <v/>
      </c>
      <c r="Z7" s="7">
        <f>H7&amp;" / "&amp;P7</f>
        <v/>
      </c>
      <c r="AA7" s="7">
        <f>H7&amp;" / "&amp;X7</f>
        <v/>
      </c>
      <c r="AB7" s="7">
        <f>IF(Z7=AA7,"No","Yes")</f>
        <v/>
      </c>
      <c r="AC7" s="7" t="inlineStr"/>
      <c r="AD7" s="7" t="inlineStr">
        <is>
          <t>https://search.mediacloud.org/api/search/total-count?q="air pollution" OR "air quality"&amp;start=2024-09-25&amp;end=2026-09-25&amp;cs=38381323&amp;platform=onlinenews-mediacloud</t>
        </is>
      </c>
      <c r="AE7" s="7" t="inlineStr">
        <is>
          <t>https://search.mediacloud.org/api/search/total-count?q=%28%22air+pollution%22+OR+%22air+quality%22%29+AND+%22Harlingen%22&amp;start=2024-09-25&amp;end=2026-09-25&amp;cs=38381323&amp;platform=onlinenews-mediacloud</t>
        </is>
      </c>
    </row>
    <row r="8">
      <c r="A8" s="7" t="n">
        <v>7</v>
      </c>
      <c r="B8" s="8" t="inlineStr">
        <is>
          <t>Raymondville</t>
        </is>
      </c>
      <c r="C8" s="8" t="inlineStr">
        <is>
          <t>TX</t>
        </is>
      </c>
      <c r="D8" s="7" t="inlineStr">
        <is>
          <t>Brownsville-Harlingen-Raymondville, TX</t>
        </is>
      </c>
      <c r="E8" s="9" t="n">
        <v>4</v>
      </c>
      <c r="F8" s="9" t="n">
        <v>2</v>
      </c>
      <c r="G8" s="10">
        <f>AVERAGE(E8:F8)</f>
        <v/>
      </c>
      <c r="H8" s="7">
        <f>IF(G8&lt;=Method!$B$4,"High pollution","Low pollution")</f>
        <v/>
      </c>
      <c r="I8" s="7" t="inlineStr">
        <is>
          <t>"air pollution" OR "air quality"</t>
        </is>
      </c>
      <c r="J8" s="7" t="n">
        <v>38381323</v>
      </c>
      <c r="K8" s="7" t="inlineStr">
        <is>
          <t>Texas, United States - State &amp; Local</t>
        </is>
      </c>
      <c r="L8" s="7" t="n">
        <v>593</v>
      </c>
      <c r="M8" s="7" t="n">
        <v>6474</v>
      </c>
      <c r="N8" s="10">
        <f>M8/L8</f>
        <v/>
      </c>
      <c r="O8" s="7">
        <f>RANK(N8,$N$2:$N$37,0)</f>
        <v/>
      </c>
      <c r="P8" s="7">
        <f>IF(N8&gt;=Method!$B$5,"High coverage","Low coverage")</f>
        <v/>
      </c>
      <c r="Q8" s="7" t="inlineStr">
        <is>
          <t>("air pollution" OR "air quality") AND "Raymondville"</t>
        </is>
      </c>
      <c r="R8" s="7" t="n">
        <v>38381323</v>
      </c>
      <c r="S8" s="7" t="inlineStr">
        <is>
          <t>Texas, United States - State &amp; Local</t>
        </is>
      </c>
      <c r="T8" s="7" t="n">
        <v>593</v>
      </c>
      <c r="U8" s="7" t="n">
        <v>4</v>
      </c>
      <c r="V8" s="10">
        <f>U8/T8</f>
        <v/>
      </c>
      <c r="W8" s="7">
        <f>RANK(V8,$V$2:$V$37,0)</f>
        <v/>
      </c>
      <c r="X8" s="7">
        <f>IF(V8&gt;=Method!$B$6,"High coverage","Low coverage")</f>
        <v/>
      </c>
      <c r="Y8" s="7">
        <f>O8-W8</f>
        <v/>
      </c>
      <c r="Z8" s="7">
        <f>H8&amp;" / "&amp;P8</f>
        <v/>
      </c>
      <c r="AA8" s="7">
        <f>H8&amp;" / "&amp;X8</f>
        <v/>
      </c>
      <c r="AB8" s="7">
        <f>IF(Z8=AA8,"No","Yes")</f>
        <v/>
      </c>
      <c r="AC8" s="7" t="inlineStr"/>
      <c r="AD8" s="7" t="inlineStr">
        <is>
          <t>https://search.mediacloud.org/api/search/total-count?q="air pollution" OR "air quality"&amp;start=2024-09-25&amp;end=2026-09-25&amp;cs=38381323&amp;platform=onlinenews-mediacloud</t>
        </is>
      </c>
      <c r="AE8" s="7" t="inlineStr">
        <is>
          <t>https://search.mediacloud.org/api/search/total-count?q=%28%22air+pollution%22+OR+%22air+quality%22%29+AND+%22Raymondville%22&amp;start=2024-09-25&amp;end=2026-09-25&amp;cs=38381323&amp;platform=onlinenews-mediacloud</t>
        </is>
      </c>
    </row>
    <row r="9">
      <c r="A9" s="7" t="n">
        <v>8</v>
      </c>
      <c r="B9" s="8" t="inlineStr">
        <is>
          <t>Fresno</t>
        </is>
      </c>
      <c r="C9" s="8" t="inlineStr">
        <is>
          <t>CA</t>
        </is>
      </c>
      <c r="D9" s="7" t="inlineStr">
        <is>
          <t>Fresno-Hanford-Corcoran, CA</t>
        </is>
      </c>
      <c r="E9" s="9" t="n">
        <v>6</v>
      </c>
      <c r="F9" s="9" t="n">
        <v>4</v>
      </c>
      <c r="G9" s="10">
        <f>AVERAGE(E9:F9)</f>
        <v/>
      </c>
      <c r="H9" s="7">
        <f>IF(G9&lt;=Method!$B$4,"High pollution","Low pollution")</f>
        <v/>
      </c>
      <c r="I9" s="7" t="inlineStr">
        <is>
          <t>"air pollution" OR "air quality"</t>
        </is>
      </c>
      <c r="J9" s="7" t="n">
        <v>38380550</v>
      </c>
      <c r="K9" s="7" t="inlineStr">
        <is>
          <t>California, United States -State &amp; Local</t>
        </is>
      </c>
      <c r="L9" s="7" t="n">
        <v>1283</v>
      </c>
      <c r="M9" s="7" t="n">
        <v>26181</v>
      </c>
      <c r="N9" s="10">
        <f>M9/L9</f>
        <v/>
      </c>
      <c r="O9" s="7">
        <f>RANK(N9,$N$2:$N$37,0)</f>
        <v/>
      </c>
      <c r="P9" s="7">
        <f>IF(N9&gt;=Method!$B$5,"High coverage","Low coverage")</f>
        <v/>
      </c>
      <c r="Q9" s="7" t="inlineStr">
        <is>
          <t>("air pollution" OR "air quality") AND "Fresno"</t>
        </is>
      </c>
      <c r="R9" s="7" t="n">
        <v>38380550</v>
      </c>
      <c r="S9" s="7" t="inlineStr">
        <is>
          <t>California, United States -State &amp; Local</t>
        </is>
      </c>
      <c r="T9" s="7" t="n">
        <v>1283</v>
      </c>
      <c r="U9" s="7" t="n">
        <v>385</v>
      </c>
      <c r="V9" s="10">
        <f>U9/T9</f>
        <v/>
      </c>
      <c r="W9" s="7">
        <f>RANK(V9,$V$2:$V$37,0)</f>
        <v/>
      </c>
      <c r="X9" s="7">
        <f>IF(V9&gt;=Method!$B$6,"High coverage","Low coverage")</f>
        <v/>
      </c>
      <c r="Y9" s="7">
        <f>O9-W9</f>
        <v/>
      </c>
      <c r="Z9" s="7">
        <f>H9&amp;" / "&amp;P9</f>
        <v/>
      </c>
      <c r="AA9" s="7">
        <f>H9&amp;" / "&amp;X9</f>
        <v/>
      </c>
      <c r="AB9" s="7">
        <f>IF(Z9=AA9,"No","Yes")</f>
        <v/>
      </c>
      <c r="AC9" s="7" t="inlineStr"/>
      <c r="AD9" s="7" t="inlineStr">
        <is>
          <t>https://search.mediacloud.org/api/search/total-count?q="air pollution" OR "air quality"&amp;start=2024-09-25&amp;end=2026-09-25&amp;cs=38380550&amp;platform=onlinenews-mediacloud</t>
        </is>
      </c>
      <c r="AE9" s="7" t="inlineStr">
        <is>
          <t>https://search.mediacloud.org/api/search/total-count?q=%28%22air+pollution%22+OR+%22air+quality%22%29+AND+%22Fresno%22&amp;start=2024-09-25&amp;end=2026-09-25&amp;cs=38380550&amp;platform=onlinenews-mediacloud</t>
        </is>
      </c>
    </row>
    <row r="10">
      <c r="A10" s="7" t="n">
        <v>9</v>
      </c>
      <c r="B10" s="8" t="inlineStr">
        <is>
          <t>Hanford</t>
        </is>
      </c>
      <c r="C10" s="8" t="inlineStr">
        <is>
          <t>CA</t>
        </is>
      </c>
      <c r="D10" s="7" t="inlineStr">
        <is>
          <t>Fresno-Hanford-Corcoran, CA</t>
        </is>
      </c>
      <c r="E10" s="9" t="n">
        <v>6</v>
      </c>
      <c r="F10" s="9" t="n">
        <v>4</v>
      </c>
      <c r="G10" s="10">
        <f>AVERAGE(E10:F10)</f>
        <v/>
      </c>
      <c r="H10" s="7">
        <f>IF(G10&lt;=Method!$B$4,"High pollution","Low pollution")</f>
        <v/>
      </c>
      <c r="I10" s="7" t="inlineStr">
        <is>
          <t>"air pollution" OR "air quality"</t>
        </is>
      </c>
      <c r="J10" s="7" t="n">
        <v>38380550</v>
      </c>
      <c r="K10" s="7" t="inlineStr">
        <is>
          <t>California, United States -State &amp; Local</t>
        </is>
      </c>
      <c r="L10" s="7" t="n">
        <v>1283</v>
      </c>
      <c r="M10" s="7" t="n">
        <v>26181</v>
      </c>
      <c r="N10" s="10">
        <f>M10/L10</f>
        <v/>
      </c>
      <c r="O10" s="7">
        <f>RANK(N10,$N$2:$N$37,0)</f>
        <v/>
      </c>
      <c r="P10" s="7">
        <f>IF(N10&gt;=Method!$B$5,"High coverage","Low coverage")</f>
        <v/>
      </c>
      <c r="Q10" s="7" t="inlineStr">
        <is>
          <t>("air pollution" OR "air quality") AND "Hanford"</t>
        </is>
      </c>
      <c r="R10" s="7" t="n">
        <v>38380550</v>
      </c>
      <c r="S10" s="7" t="inlineStr">
        <is>
          <t>California, United States -State &amp; Local</t>
        </is>
      </c>
      <c r="T10" s="7" t="n">
        <v>1283</v>
      </c>
      <c r="U10" s="7" t="n">
        <v>67</v>
      </c>
      <c r="V10" s="10">
        <f>U10/T10</f>
        <v/>
      </c>
      <c r="W10" s="7">
        <f>RANK(V10,$V$2:$V$37,0)</f>
        <v/>
      </c>
      <c r="X10" s="7">
        <f>IF(V10&gt;=Method!$B$6,"High coverage","Low coverage")</f>
        <v/>
      </c>
      <c r="Y10" s="7">
        <f>O10-W10</f>
        <v/>
      </c>
      <c r="Z10" s="7">
        <f>H10&amp;" / "&amp;P10</f>
        <v/>
      </c>
      <c r="AA10" s="7">
        <f>H10&amp;" / "&amp;X10</f>
        <v/>
      </c>
      <c r="AB10" s="7">
        <f>IF(Z10=AA10,"No","Yes")</f>
        <v/>
      </c>
      <c r="AC10" s="7" t="inlineStr"/>
      <c r="AD10" s="7" t="inlineStr">
        <is>
          <t>https://search.mediacloud.org/api/search/total-count?q="air pollution" OR "air quality"&amp;start=2024-09-25&amp;end=2026-09-25&amp;cs=38380550&amp;platform=onlinenews-mediacloud</t>
        </is>
      </c>
      <c r="AE10" s="7" t="inlineStr">
        <is>
          <t>https://search.mediacloud.org/api/search/total-count?q=%28%22air+pollution%22+OR+%22air+quality%22%29+AND+%22Hanford%22&amp;start=2024-09-25&amp;end=2026-09-25&amp;cs=38380550&amp;platform=onlinenews-mediacloud</t>
        </is>
      </c>
    </row>
    <row r="11">
      <c r="A11" s="7" t="n">
        <v>10</v>
      </c>
      <c r="B11" s="8" t="inlineStr">
        <is>
          <t>Corcoran</t>
        </is>
      </c>
      <c r="C11" s="8" t="inlineStr">
        <is>
          <t>CA</t>
        </is>
      </c>
      <c r="D11" s="7" t="inlineStr">
        <is>
          <t>Fresno-Hanford-Corcoran, CA</t>
        </is>
      </c>
      <c r="E11" s="9" t="n">
        <v>6</v>
      </c>
      <c r="F11" s="9" t="n">
        <v>4</v>
      </c>
      <c r="G11" s="10">
        <f>AVERAGE(E11:F11)</f>
        <v/>
      </c>
      <c r="H11" s="7">
        <f>IF(G11&lt;=Method!$B$4,"High pollution","Low pollution")</f>
        <v/>
      </c>
      <c r="I11" s="7" t="inlineStr">
        <is>
          <t>"air pollution" OR "air quality"</t>
        </is>
      </c>
      <c r="J11" s="7" t="n">
        <v>38380550</v>
      </c>
      <c r="K11" s="7" t="inlineStr">
        <is>
          <t>California, United States -State &amp; Local</t>
        </is>
      </c>
      <c r="L11" s="7" t="n">
        <v>1283</v>
      </c>
      <c r="M11" s="7" t="n">
        <v>26181</v>
      </c>
      <c r="N11" s="10">
        <f>M11/L11</f>
        <v/>
      </c>
      <c r="O11" s="7">
        <f>RANK(N11,$N$2:$N$37,0)</f>
        <v/>
      </c>
      <c r="P11" s="7">
        <f>IF(N11&gt;=Method!$B$5,"High coverage","Low coverage")</f>
        <v/>
      </c>
      <c r="Q11" s="7" t="inlineStr">
        <is>
          <t>("air pollution" OR "air quality") AND "Corcoran"</t>
        </is>
      </c>
      <c r="R11" s="7" t="n">
        <v>38380550</v>
      </c>
      <c r="S11" s="7" t="inlineStr">
        <is>
          <t>California, United States -State &amp; Local</t>
        </is>
      </c>
      <c r="T11" s="7" t="n">
        <v>1283</v>
      </c>
      <c r="U11" s="7" t="n">
        <v>54</v>
      </c>
      <c r="V11" s="10">
        <f>U11/T11</f>
        <v/>
      </c>
      <c r="W11" s="7">
        <f>RANK(V11,$V$2:$V$37,0)</f>
        <v/>
      </c>
      <c r="X11" s="7">
        <f>IF(V11&gt;=Method!$B$6,"High coverage","Low coverage")</f>
        <v/>
      </c>
      <c r="Y11" s="7">
        <f>O11-W11</f>
        <v/>
      </c>
      <c r="Z11" s="7">
        <f>H11&amp;" / "&amp;P11</f>
        <v/>
      </c>
      <c r="AA11" s="7">
        <f>H11&amp;" / "&amp;X11</f>
        <v/>
      </c>
      <c r="AB11" s="7">
        <f>IF(Z11=AA11,"No","Yes")</f>
        <v/>
      </c>
      <c r="AC11" s="7" t="inlineStr"/>
      <c r="AD11" s="7" t="inlineStr">
        <is>
          <t>https://search.mediacloud.org/api/search/total-count?q="air pollution" OR "air quality"&amp;start=2024-09-25&amp;end=2026-09-25&amp;cs=38380550&amp;platform=onlinenews-mediacloud</t>
        </is>
      </c>
      <c r="AE11" s="7" t="inlineStr">
        <is>
          <t>https://search.mediacloud.org/api/search/total-count?q=%28%22air+pollution%22+OR+%22air+quality%22%29+AND+%22Corcoran%22&amp;start=2024-09-25&amp;end=2026-09-25&amp;cs=38380550&amp;platform=onlinenews-mediacloud</t>
        </is>
      </c>
    </row>
    <row r="12">
      <c r="A12" s="7" t="n">
        <v>11</v>
      </c>
      <c r="B12" s="8" t="inlineStr">
        <is>
          <t>Visalia</t>
        </is>
      </c>
      <c r="C12" s="8" t="inlineStr">
        <is>
          <t>CA</t>
        </is>
      </c>
      <c r="D12" s="7" t="inlineStr">
        <is>
          <t>Visalia, CA</t>
        </is>
      </c>
      <c r="E12" s="9" t="n">
        <v>5</v>
      </c>
      <c r="F12" s="9" t="n">
        <v>5</v>
      </c>
      <c r="G12" s="10">
        <f>AVERAGE(E12:F12)</f>
        <v/>
      </c>
      <c r="H12" s="7">
        <f>IF(G12&lt;=Method!$B$4,"High pollution","Low pollution")</f>
        <v/>
      </c>
      <c r="I12" s="7" t="inlineStr">
        <is>
          <t>"air pollution" OR "air quality"</t>
        </is>
      </c>
      <c r="J12" s="7" t="n">
        <v>38380550</v>
      </c>
      <c r="K12" s="7" t="inlineStr">
        <is>
          <t>California, United States -State &amp; Local</t>
        </is>
      </c>
      <c r="L12" s="7" t="n">
        <v>1283</v>
      </c>
      <c r="M12" s="7" t="n">
        <v>26181</v>
      </c>
      <c r="N12" s="10">
        <f>M12/L12</f>
        <v/>
      </c>
      <c r="O12" s="7">
        <f>RANK(N12,$N$2:$N$37,0)</f>
        <v/>
      </c>
      <c r="P12" s="7">
        <f>IF(N12&gt;=Method!$B$5,"High coverage","Low coverage")</f>
        <v/>
      </c>
      <c r="Q12" s="7" t="inlineStr">
        <is>
          <t>("air pollution" OR "air quality") AND "Visalia"</t>
        </is>
      </c>
      <c r="R12" s="7" t="n">
        <v>38380550</v>
      </c>
      <c r="S12" s="7" t="inlineStr">
        <is>
          <t>California, United States -State &amp; Local</t>
        </is>
      </c>
      <c r="T12" s="7" t="n">
        <v>1283</v>
      </c>
      <c r="U12" s="7" t="n">
        <v>63</v>
      </c>
      <c r="V12" s="10">
        <f>U12/T12</f>
        <v/>
      </c>
      <c r="W12" s="7">
        <f>RANK(V12,$V$2:$V$37,0)</f>
        <v/>
      </c>
      <c r="X12" s="7">
        <f>IF(V12&gt;=Method!$B$6,"High coverage","Low coverage")</f>
        <v/>
      </c>
      <c r="Y12" s="7">
        <f>O12-W12</f>
        <v/>
      </c>
      <c r="Z12" s="7">
        <f>H12&amp;" / "&amp;P12</f>
        <v/>
      </c>
      <c r="AA12" s="7">
        <f>H12&amp;" / "&amp;X12</f>
        <v/>
      </c>
      <c r="AB12" s="7">
        <f>IF(Z12=AA12,"No","Yes")</f>
        <v/>
      </c>
      <c r="AC12" s="7" t="inlineStr"/>
      <c r="AD12" s="7" t="inlineStr">
        <is>
          <t>https://search.mediacloud.org/api/search/total-count?q="air pollution" OR "air quality"&amp;start=2024-09-25&amp;end=2026-09-25&amp;cs=38380550&amp;platform=onlinenews-mediacloud</t>
        </is>
      </c>
      <c r="AE12" s="7" t="inlineStr">
        <is>
          <t>https://search.mediacloud.org/api/search/total-count?q=%28%22air+pollution%22+OR+%22air+quality%22%29+AND+%22Visalia%22&amp;start=2024-09-25&amp;end=2026-09-25&amp;cs=38380550&amp;platform=onlinenews-mediacloud</t>
        </is>
      </c>
    </row>
    <row r="13">
      <c r="A13" s="7" t="n">
        <v>12</v>
      </c>
      <c r="B13" s="8" t="inlineStr">
        <is>
          <t>Fairbanks</t>
        </is>
      </c>
      <c r="C13" s="8" t="inlineStr">
        <is>
          <t>AK</t>
        </is>
      </c>
      <c r="D13" s="7" t="inlineStr">
        <is>
          <t>Fairbanks-College, AK</t>
        </is>
      </c>
      <c r="E13" s="9" t="n">
        <v>1</v>
      </c>
      <c r="F13" s="9" t="n">
        <v>9</v>
      </c>
      <c r="G13" s="10">
        <f>AVERAGE(E13:F13)</f>
        <v/>
      </c>
      <c r="H13" s="7">
        <f>IF(G13&lt;=Method!$B$4,"High pollution","Low pollution")</f>
        <v/>
      </c>
      <c r="I13" s="7" t="inlineStr">
        <is>
          <t>"air pollution" OR "air quality"</t>
        </is>
      </c>
      <c r="J13" s="7" t="n">
        <v>38381315</v>
      </c>
      <c r="K13" s="7" t="inlineStr">
        <is>
          <t>Alaska, United States - State &amp; Local</t>
        </is>
      </c>
      <c r="L13" s="7" t="n">
        <v>77</v>
      </c>
      <c r="M13" s="7" t="n">
        <v>562</v>
      </c>
      <c r="N13" s="10">
        <f>M13/L13</f>
        <v/>
      </c>
      <c r="O13" s="7">
        <f>RANK(N13,$N$2:$N$37,0)</f>
        <v/>
      </c>
      <c r="P13" s="7">
        <f>IF(N13&gt;=Method!$B$5,"High coverage","Low coverage")</f>
        <v/>
      </c>
      <c r="Q13" s="7" t="inlineStr">
        <is>
          <t>("air pollution" OR "air quality") AND "Fairbanks"</t>
        </is>
      </c>
      <c r="R13" s="7" t="n">
        <v>38381315</v>
      </c>
      <c r="S13" s="7" t="inlineStr">
        <is>
          <t>Alaska, United States - State &amp; Local</t>
        </is>
      </c>
      <c r="T13" s="7" t="n">
        <v>77</v>
      </c>
      <c r="U13" s="7" t="n">
        <v>144</v>
      </c>
      <c r="V13" s="10">
        <f>U13/T13</f>
        <v/>
      </c>
      <c r="W13" s="7">
        <f>RANK(V13,$V$2:$V$37,0)</f>
        <v/>
      </c>
      <c r="X13" s="7">
        <f>IF(V13&gt;=Method!$B$6,"High coverage","Low coverage")</f>
        <v/>
      </c>
      <c r="Y13" s="7">
        <f>O13-W13</f>
        <v/>
      </c>
      <c r="Z13" s="7">
        <f>H13&amp;" / "&amp;P13</f>
        <v/>
      </c>
      <c r="AA13" s="7">
        <f>H13&amp;" / "&amp;X13</f>
        <v/>
      </c>
      <c r="AB13" s="7">
        <f>IF(Z13=AA13,"No","Yes")</f>
        <v/>
      </c>
      <c r="AC13" s="7" t="inlineStr"/>
      <c r="AD13" s="7" t="inlineStr">
        <is>
          <t>https://search.mediacloud.org/api/search/total-count?q="air pollution" OR "air quality"&amp;start=2024-09-25&amp;end=2026-09-25&amp;cs=38381315&amp;platform=onlinenews-mediacloud</t>
        </is>
      </c>
      <c r="AE13" s="7" t="inlineStr">
        <is>
          <t>https://search.mediacloud.org/api/search/total-count?q=%28%22air+pollution%22+OR+%22air+quality%22%29+AND+%22Fairbanks%22&amp;start=2024-09-25&amp;end=2026-09-25&amp;cs=38381315&amp;platform=onlinenews-mediacloud</t>
        </is>
      </c>
    </row>
    <row r="14">
      <c r="A14" s="7" t="n">
        <v>13</v>
      </c>
      <c r="B14" s="8" t="inlineStr">
        <is>
          <t>College</t>
        </is>
      </c>
      <c r="C14" s="8" t="inlineStr">
        <is>
          <t>AK</t>
        </is>
      </c>
      <c r="D14" s="7" t="inlineStr">
        <is>
          <t>Fairbanks-College, AK</t>
        </is>
      </c>
      <c r="E14" s="9" t="n">
        <v>1</v>
      </c>
      <c r="F14" s="9" t="n">
        <v>9</v>
      </c>
      <c r="G14" s="10">
        <f>AVERAGE(E14:F14)</f>
        <v/>
      </c>
      <c r="H14" s="7">
        <f>IF(G14&lt;=Method!$B$4,"High pollution","Low pollution")</f>
        <v/>
      </c>
      <c r="I14" s="7" t="inlineStr">
        <is>
          <t>"air pollution" OR "air quality"</t>
        </is>
      </c>
      <c r="J14" s="7" t="n">
        <v>38381315</v>
      </c>
      <c r="K14" s="7" t="inlineStr">
        <is>
          <t>Alaska, United States - State &amp; Local</t>
        </is>
      </c>
      <c r="L14" s="7" t="n">
        <v>77</v>
      </c>
      <c r="M14" s="7" t="n">
        <v>562</v>
      </c>
      <c r="N14" s="10">
        <f>M14/L14</f>
        <v/>
      </c>
      <c r="O14" s="7">
        <f>RANK(N14,$N$2:$N$37,0)</f>
        <v/>
      </c>
      <c r="P14" s="7">
        <f>IF(N14&gt;=Method!$B$5,"High coverage","Low coverage")</f>
        <v/>
      </c>
      <c r="Q14" s="7" t="inlineStr">
        <is>
          <t>("air pollution" OR "air quality") AND "College"</t>
        </is>
      </c>
      <c r="R14" s="7" t="n">
        <v>38381315</v>
      </c>
      <c r="S14" s="7" t="inlineStr">
        <is>
          <t>Alaska, United States - State &amp; Local</t>
        </is>
      </c>
      <c r="T14" s="7" t="n">
        <v>77</v>
      </c>
      <c r="U14" s="7" t="n">
        <v>18</v>
      </c>
      <c r="V14" s="10">
        <f>U14/T14</f>
        <v/>
      </c>
      <c r="W14" s="7">
        <f>RANK(V14,$V$2:$V$37,0)</f>
        <v/>
      </c>
      <c r="X14" s="7">
        <f>IF(V14&gt;=Method!$B$6,"High coverage","Low coverage")</f>
        <v/>
      </c>
      <c r="Y14" s="7">
        <f>O14-W14</f>
        <v/>
      </c>
      <c r="Z14" s="7">
        <f>H14&amp;" / "&amp;P14</f>
        <v/>
      </c>
      <c r="AA14" s="7">
        <f>H14&amp;" / "&amp;X14</f>
        <v/>
      </c>
      <c r="AB14" s="7">
        <f>IF(Z14=AA14,"No","Yes")</f>
        <v/>
      </c>
      <c r="AC14" s="7" t="inlineStr">
        <is>
          <t>Common word</t>
        </is>
      </c>
      <c r="AD14" s="7" t="inlineStr">
        <is>
          <t>https://search.mediacloud.org/api/search/total-count?q="air pollution" OR "air quality"&amp;start=2024-09-25&amp;end=2026-09-25&amp;cs=38381315&amp;platform=onlinenews-mediacloud</t>
        </is>
      </c>
      <c r="AE14" s="7" t="inlineStr">
        <is>
          <t>https://search.mediacloud.org/api/search/total-count?q=%28%22air+pollution%22+OR+%22air+quality%22%29+AND+%22College%22&amp;start=2024-09-25&amp;end=2026-09-25&amp;cs=38381315&amp;platform=onlinenews-mediacloud</t>
        </is>
      </c>
    </row>
    <row r="15">
      <c r="A15" s="7" t="n">
        <v>14</v>
      </c>
      <c r="B15" s="8" t="inlineStr">
        <is>
          <t>Los Angeles</t>
        </is>
      </c>
      <c r="C15" s="8" t="inlineStr">
        <is>
          <t>CA</t>
        </is>
      </c>
      <c r="D15" s="7" t="inlineStr">
        <is>
          <t>Los Angeles-Long Beach, CA</t>
        </is>
      </c>
      <c r="E15" s="9" t="n">
        <v>7</v>
      </c>
      <c r="F15" s="9" t="n">
        <v>7</v>
      </c>
      <c r="G15" s="10">
        <f>AVERAGE(E15:F15)</f>
        <v/>
      </c>
      <c r="H15" s="7">
        <f>IF(G15&lt;=Method!$B$4,"High pollution","Low pollution")</f>
        <v/>
      </c>
      <c r="I15" s="7" t="inlineStr">
        <is>
          <t>"air pollution" OR "air quality"</t>
        </is>
      </c>
      <c r="J15" s="7" t="n">
        <v>38380550</v>
      </c>
      <c r="K15" s="7" t="inlineStr">
        <is>
          <t>California, United States -State &amp; Local</t>
        </is>
      </c>
      <c r="L15" s="7" t="n">
        <v>1283</v>
      </c>
      <c r="M15" s="7" t="n">
        <v>26181</v>
      </c>
      <c r="N15" s="10">
        <f>M15/L15</f>
        <v/>
      </c>
      <c r="O15" s="7">
        <f>RANK(N15,$N$2:$N$37,0)</f>
        <v/>
      </c>
      <c r="P15" s="7">
        <f>IF(N15&gt;=Method!$B$5,"High coverage","Low coverage")</f>
        <v/>
      </c>
      <c r="Q15" s="7" t="inlineStr">
        <is>
          <t>("air pollution" OR "air quality") AND "Los Angeles"</t>
        </is>
      </c>
      <c r="R15" s="7" t="n">
        <v>38380550</v>
      </c>
      <c r="S15" s="7" t="inlineStr">
        <is>
          <t>California, United States -State &amp; Local</t>
        </is>
      </c>
      <c r="T15" s="7" t="n">
        <v>1283</v>
      </c>
      <c r="U15" s="7" t="n">
        <v>6442</v>
      </c>
      <c r="V15" s="10">
        <f>U15/T15</f>
        <v/>
      </c>
      <c r="W15" s="7">
        <f>RANK(V15,$V$2:$V$37,0)</f>
        <v/>
      </c>
      <c r="X15" s="7">
        <f>IF(V15&gt;=Method!$B$6,"High coverage","Low coverage")</f>
        <v/>
      </c>
      <c r="Y15" s="7">
        <f>O15-W15</f>
        <v/>
      </c>
      <c r="Z15" s="7">
        <f>H15&amp;" / "&amp;P15</f>
        <v/>
      </c>
      <c r="AA15" s="7">
        <f>H15&amp;" / "&amp;X15</f>
        <v/>
      </c>
      <c r="AB15" s="7">
        <f>IF(Z15=AA15,"No","Yes")</f>
        <v/>
      </c>
      <c r="AC15" s="7" t="inlineStr"/>
      <c r="AD15" s="7" t="inlineStr">
        <is>
          <t>https://search.mediacloud.org/api/search/total-count?q="air pollution" OR "air quality"&amp;start=2024-09-25&amp;end=2026-09-25&amp;cs=38380550&amp;platform=onlinenews-mediacloud</t>
        </is>
      </c>
      <c r="AE15" s="7" t="inlineStr">
        <is>
          <t>https://search.mediacloud.org/api/search/total-count?q=%28%22air+pollution%22+OR+%22air+quality%22%29+AND+%22Los+Angeles%22&amp;start=2024-09-25&amp;end=2026-09-25&amp;cs=38380550&amp;platform=onlinenews-mediacloud</t>
        </is>
      </c>
    </row>
    <row r="16">
      <c r="A16" s="7" t="n">
        <v>15</v>
      </c>
      <c r="B16" s="8" t="inlineStr">
        <is>
          <t>Long Beach</t>
        </is>
      </c>
      <c r="C16" s="8" t="inlineStr">
        <is>
          <t>CA</t>
        </is>
      </c>
      <c r="D16" s="7" t="inlineStr">
        <is>
          <t>Los Angeles-Long Beach, CA</t>
        </is>
      </c>
      <c r="E16" s="9" t="n">
        <v>7</v>
      </c>
      <c r="F16" s="9" t="n">
        <v>7</v>
      </c>
      <c r="G16" s="10">
        <f>AVERAGE(E16:F16)</f>
        <v/>
      </c>
      <c r="H16" s="7">
        <f>IF(G16&lt;=Method!$B$4,"High pollution","Low pollution")</f>
        <v/>
      </c>
      <c r="I16" s="7" t="inlineStr">
        <is>
          <t>"air pollution" OR "air quality"</t>
        </is>
      </c>
      <c r="J16" s="7" t="n">
        <v>38380550</v>
      </c>
      <c r="K16" s="7" t="inlineStr">
        <is>
          <t>California, United States -State &amp; Local</t>
        </is>
      </c>
      <c r="L16" s="7" t="n">
        <v>1283</v>
      </c>
      <c r="M16" s="7" t="n">
        <v>26181</v>
      </c>
      <c r="N16" s="10">
        <f>M16/L16</f>
        <v/>
      </c>
      <c r="O16" s="7">
        <f>RANK(N16,$N$2:$N$37,0)</f>
        <v/>
      </c>
      <c r="P16" s="7">
        <f>IF(N16&gt;=Method!$B$5,"High coverage","Low coverage")</f>
        <v/>
      </c>
      <c r="Q16" s="7" t="inlineStr">
        <is>
          <t>("air pollution" OR "air quality") AND "Long Beach"</t>
        </is>
      </c>
      <c r="R16" s="7" t="n">
        <v>38380550</v>
      </c>
      <c r="S16" s="7" t="inlineStr">
        <is>
          <t>California, United States -State &amp; Local</t>
        </is>
      </c>
      <c r="T16" s="7" t="n">
        <v>1283</v>
      </c>
      <c r="U16" s="7" t="n">
        <v>725</v>
      </c>
      <c r="V16" s="10">
        <f>U16/T16</f>
        <v/>
      </c>
      <c r="W16" s="7">
        <f>RANK(V16,$V$2:$V$37,0)</f>
        <v/>
      </c>
      <c r="X16" s="7">
        <f>IF(V16&gt;=Method!$B$6,"High coverage","Low coverage")</f>
        <v/>
      </c>
      <c r="Y16" s="7">
        <f>O16-W16</f>
        <v/>
      </c>
      <c r="Z16" s="7">
        <f>H16&amp;" / "&amp;P16</f>
        <v/>
      </c>
      <c r="AA16" s="7">
        <f>H16&amp;" / "&amp;X16</f>
        <v/>
      </c>
      <c r="AB16" s="7">
        <f>IF(Z16=AA16,"No","Yes")</f>
        <v/>
      </c>
      <c r="AC16" s="7" t="inlineStr"/>
      <c r="AD16" s="7" t="inlineStr">
        <is>
          <t>https://search.mediacloud.org/api/search/total-count?q="air pollution" OR "air quality"&amp;start=2024-09-25&amp;end=2026-09-25&amp;cs=38380550&amp;platform=onlinenews-mediacloud</t>
        </is>
      </c>
      <c r="AE16" s="7" t="inlineStr">
        <is>
          <t>https://search.mediacloud.org/api/search/total-count?q=%28%22air+pollution%22+OR+%22air+quality%22%29+AND+%22Long+Beach%22&amp;start=2024-09-25&amp;end=2026-09-25&amp;cs=38380550&amp;platform=onlinenews-mediacloud</t>
        </is>
      </c>
    </row>
    <row r="17">
      <c r="A17" s="7" t="n">
        <v>16</v>
      </c>
      <c r="B17" s="8" t="inlineStr">
        <is>
          <t>Detroit</t>
        </is>
      </c>
      <c r="C17" s="8" t="inlineStr">
        <is>
          <t>MI</t>
        </is>
      </c>
      <c r="D17" s="7" t="inlineStr">
        <is>
          <t>Detroit-Warren-Ann Arbor, MI</t>
        </is>
      </c>
      <c r="E17" s="9" t="n">
        <v>11</v>
      </c>
      <c r="F17" s="9" t="n">
        <v>9</v>
      </c>
      <c r="G17" s="10">
        <f>AVERAGE(E17:F17)</f>
        <v/>
      </c>
      <c r="H17" s="7">
        <f>IF(G17&lt;=Method!$B$4,"High pollution","Low pollution")</f>
        <v/>
      </c>
      <c r="I17" s="7" t="inlineStr">
        <is>
          <t>"air pollution" OR "air quality"</t>
        </is>
      </c>
      <c r="J17" s="7" t="n">
        <v>38381374</v>
      </c>
      <c r="K17" s="7" t="inlineStr">
        <is>
          <t>Michigan, United States - State &amp; Local</t>
        </is>
      </c>
      <c r="L17" s="7" t="n">
        <v>203</v>
      </c>
      <c r="M17" s="7" t="n">
        <v>4672</v>
      </c>
      <c r="N17" s="10">
        <f>M17/L17</f>
        <v/>
      </c>
      <c r="O17" s="7">
        <f>RANK(N17,$N$2:$N$37,0)</f>
        <v/>
      </c>
      <c r="P17" s="7">
        <f>IF(N17&gt;=Method!$B$5,"High coverage","Low coverage")</f>
        <v/>
      </c>
      <c r="Q17" s="7" t="inlineStr">
        <is>
          <t>("air pollution" OR "air quality") AND "Detroit"</t>
        </is>
      </c>
      <c r="R17" s="7" t="n">
        <v>38381374</v>
      </c>
      <c r="S17" s="7" t="inlineStr">
        <is>
          <t>Michigan, United States - State &amp; Local</t>
        </is>
      </c>
      <c r="T17" s="7" t="n">
        <v>203</v>
      </c>
      <c r="U17" s="7" t="n">
        <v>803</v>
      </c>
      <c r="V17" s="10">
        <f>U17/T17</f>
        <v/>
      </c>
      <c r="W17" s="7">
        <f>RANK(V17,$V$2:$V$37,0)</f>
        <v/>
      </c>
      <c r="X17" s="7">
        <f>IF(V17&gt;=Method!$B$6,"High coverage","Low coverage")</f>
        <v/>
      </c>
      <c r="Y17" s="7">
        <f>O17-W17</f>
        <v/>
      </c>
      <c r="Z17" s="7">
        <f>H17&amp;" / "&amp;P17</f>
        <v/>
      </c>
      <c r="AA17" s="7">
        <f>H17&amp;" / "&amp;X17</f>
        <v/>
      </c>
      <c r="AB17" s="7">
        <f>IF(Z17=AA17,"No","Yes")</f>
        <v/>
      </c>
      <c r="AC17" s="7" t="inlineStr"/>
      <c r="AD17" s="7" t="inlineStr">
        <is>
          <t>https://search.mediacloud.org/api/search/total-count?q="air pollution" OR "air quality"&amp;start=2024-09-25&amp;end=2026-09-25&amp;cs=38381374&amp;platform=onlinenews-mediacloud</t>
        </is>
      </c>
      <c r="AE17" s="7" t="inlineStr">
        <is>
          <t>https://search.mediacloud.org/api/search/total-count?q=%28%22air+pollution%22+OR+%22air+quality%22%29+AND+%22Detroit%22&amp;start=2024-09-25&amp;end=2026-09-25&amp;cs=38381374&amp;platform=onlinenews-mediacloud</t>
        </is>
      </c>
    </row>
    <row r="18">
      <c r="A18" s="7" t="n">
        <v>17</v>
      </c>
      <c r="B18" s="8" t="inlineStr">
        <is>
          <t>Warren</t>
        </is>
      </c>
      <c r="C18" s="8" t="inlineStr">
        <is>
          <t>MI</t>
        </is>
      </c>
      <c r="D18" s="7" t="inlineStr">
        <is>
          <t>Detroit-Warren-Ann Arbor, MI</t>
        </is>
      </c>
      <c r="E18" s="9" t="n">
        <v>11</v>
      </c>
      <c r="F18" s="9" t="n">
        <v>9</v>
      </c>
      <c r="G18" s="10">
        <f>AVERAGE(E18:F18)</f>
        <v/>
      </c>
      <c r="H18" s="7">
        <f>IF(G18&lt;=Method!$B$4,"High pollution","Low pollution")</f>
        <v/>
      </c>
      <c r="I18" s="7" t="inlineStr">
        <is>
          <t>"air pollution" OR "air quality"</t>
        </is>
      </c>
      <c r="J18" s="7" t="n">
        <v>38381374</v>
      </c>
      <c r="K18" s="7" t="inlineStr">
        <is>
          <t>Michigan, United States - State &amp; Local</t>
        </is>
      </c>
      <c r="L18" s="7" t="n">
        <v>203</v>
      </c>
      <c r="M18" s="7" t="n">
        <v>4672</v>
      </c>
      <c r="N18" s="10">
        <f>M18/L18</f>
        <v/>
      </c>
      <c r="O18" s="7">
        <f>RANK(N18,$N$2:$N$37,0)</f>
        <v/>
      </c>
      <c r="P18" s="7">
        <f>IF(N18&gt;=Method!$B$5,"High coverage","Low coverage")</f>
        <v/>
      </c>
      <c r="Q18" s="7" t="inlineStr">
        <is>
          <t>("air pollution" OR "air quality") AND "Warren"</t>
        </is>
      </c>
      <c r="R18" s="7" t="n">
        <v>38381374</v>
      </c>
      <c r="S18" s="7" t="inlineStr">
        <is>
          <t>Michigan, United States - State &amp; Local</t>
        </is>
      </c>
      <c r="T18" s="7" t="n">
        <v>203</v>
      </c>
      <c r="U18" s="7" t="n">
        <v>51</v>
      </c>
      <c r="V18" s="10">
        <f>U18/T18</f>
        <v/>
      </c>
      <c r="W18" s="7">
        <f>RANK(V18,$V$2:$V$37,0)</f>
        <v/>
      </c>
      <c r="X18" s="7">
        <f>IF(V18&gt;=Method!$B$6,"High coverage","Low coverage")</f>
        <v/>
      </c>
      <c r="Y18" s="7">
        <f>O18-W18</f>
        <v/>
      </c>
      <c r="Z18" s="7">
        <f>H18&amp;" / "&amp;P18</f>
        <v/>
      </c>
      <c r="AA18" s="7">
        <f>H18&amp;" / "&amp;X18</f>
        <v/>
      </c>
      <c r="AB18" s="7">
        <f>IF(Z18=AA18,"No","Yes")</f>
        <v/>
      </c>
      <c r="AC18" s="7" t="inlineStr">
        <is>
          <t>Also a surname (e.g., Elizabeth Warren)</t>
        </is>
      </c>
      <c r="AD18" s="7" t="inlineStr">
        <is>
          <t>https://search.mediacloud.org/api/search/total-count?q="air pollution" OR "air quality"&amp;start=2024-09-25&amp;end=2026-09-25&amp;cs=38381374&amp;platform=onlinenews-mediacloud</t>
        </is>
      </c>
      <c r="AE18" s="7" t="inlineStr">
        <is>
          <t>https://search.mediacloud.org/api/search/total-count?q=%28%22air+pollution%22+OR+%22air+quality%22%29+AND+%22Warren%22&amp;start=2024-09-25&amp;end=2026-09-25&amp;cs=38381374&amp;platform=onlinenews-mediacloud</t>
        </is>
      </c>
    </row>
    <row r="19">
      <c r="A19" s="7" t="n">
        <v>18</v>
      </c>
      <c r="B19" s="8" t="inlineStr">
        <is>
          <t>Ann Arbor</t>
        </is>
      </c>
      <c r="C19" s="8" t="inlineStr">
        <is>
          <t>MI</t>
        </is>
      </c>
      <c r="D19" s="7" t="inlineStr">
        <is>
          <t>Detroit-Warren-Ann Arbor, MI</t>
        </is>
      </c>
      <c r="E19" s="9" t="n">
        <v>11</v>
      </c>
      <c r="F19" s="9" t="n">
        <v>9</v>
      </c>
      <c r="G19" s="10">
        <f>AVERAGE(E19:F19)</f>
        <v/>
      </c>
      <c r="H19" s="7">
        <f>IF(G19&lt;=Method!$B$4,"High pollution","Low pollution")</f>
        <v/>
      </c>
      <c r="I19" s="7" t="inlineStr">
        <is>
          <t>"air pollution" OR "air quality"</t>
        </is>
      </c>
      <c r="J19" s="7" t="n">
        <v>38381374</v>
      </c>
      <c r="K19" s="7" t="inlineStr">
        <is>
          <t>Michigan, United States - State &amp; Local</t>
        </is>
      </c>
      <c r="L19" s="7" t="n">
        <v>203</v>
      </c>
      <c r="M19" s="7" t="n">
        <v>4672</v>
      </c>
      <c r="N19" s="10">
        <f>M19/L19</f>
        <v/>
      </c>
      <c r="O19" s="7">
        <f>RANK(N19,$N$2:$N$37,0)</f>
        <v/>
      </c>
      <c r="P19" s="7">
        <f>IF(N19&gt;=Method!$B$5,"High coverage","Low coverage")</f>
        <v/>
      </c>
      <c r="Q19" s="7" t="inlineStr">
        <is>
          <t>("air pollution" OR "air quality") AND "Ann Arbor"</t>
        </is>
      </c>
      <c r="R19" s="7" t="n">
        <v>38381374</v>
      </c>
      <c r="S19" s="7" t="inlineStr">
        <is>
          <t>Michigan, United States - State &amp; Local</t>
        </is>
      </c>
      <c r="T19" s="7" t="n">
        <v>203</v>
      </c>
      <c r="U19" s="7" t="n">
        <v>116</v>
      </c>
      <c r="V19" s="10">
        <f>U19/T19</f>
        <v/>
      </c>
      <c r="W19" s="7">
        <f>RANK(V19,$V$2:$V$37,0)</f>
        <v/>
      </c>
      <c r="X19" s="7">
        <f>IF(V19&gt;=Method!$B$6,"High coverage","Low coverage")</f>
        <v/>
      </c>
      <c r="Y19" s="7">
        <f>O19-W19</f>
        <v/>
      </c>
      <c r="Z19" s="7">
        <f>H19&amp;" / "&amp;P19</f>
        <v/>
      </c>
      <c r="AA19" s="7">
        <f>H19&amp;" / "&amp;X19</f>
        <v/>
      </c>
      <c r="AB19" s="7">
        <f>IF(Z19=AA19,"No","Yes")</f>
        <v/>
      </c>
      <c r="AC19" s="7" t="inlineStr"/>
      <c r="AD19" s="7" t="inlineStr">
        <is>
          <t>https://search.mediacloud.org/api/search/total-count?q="air pollution" OR "air quality"&amp;start=2024-09-25&amp;end=2026-09-25&amp;cs=38381374&amp;platform=onlinenews-mediacloud</t>
        </is>
      </c>
      <c r="AE19" s="7" t="inlineStr">
        <is>
          <t>https://search.mediacloud.org/api/search/total-count?q=%28%22air+pollution%22+OR+%22air+quality%22%29+AND+%22Ann+Arbor%22&amp;start=2024-09-25&amp;end=2026-09-25&amp;cs=38381374&amp;platform=onlinenews-mediacloud</t>
        </is>
      </c>
    </row>
    <row r="20">
      <c r="A20" s="7" t="n">
        <v>19</v>
      </c>
      <c r="B20" s="8" t="inlineStr">
        <is>
          <t>Indianapolis</t>
        </is>
      </c>
      <c r="C20" s="8" t="inlineStr">
        <is>
          <t>IN</t>
        </is>
      </c>
      <c r="D20" s="7" t="inlineStr">
        <is>
          <t>Indianapolis-Carmel-Muncie, IN</t>
        </is>
      </c>
      <c r="E20" s="9" t="n">
        <v>14</v>
      </c>
      <c r="F20" s="9" t="n">
        <v>11</v>
      </c>
      <c r="G20" s="10">
        <f>AVERAGE(E20:F20)</f>
        <v/>
      </c>
      <c r="H20" s="7">
        <f>IF(G20&lt;=Method!$B$4,"High pollution","Low pollution")</f>
        <v/>
      </c>
      <c r="I20" s="7" t="inlineStr">
        <is>
          <t>"air pollution" OR "air quality"</t>
        </is>
      </c>
      <c r="J20" s="7" t="n">
        <v>38381358</v>
      </c>
      <c r="K20" s="7" t="inlineStr">
        <is>
          <t>Indiana, United States - State &amp; Local</t>
        </is>
      </c>
      <c r="L20" s="7" t="n">
        <v>167</v>
      </c>
      <c r="M20" s="7" t="n">
        <v>2150</v>
      </c>
      <c r="N20" s="10">
        <f>M20/L20</f>
        <v/>
      </c>
      <c r="O20" s="7">
        <f>RANK(N20,$N$2:$N$37,0)</f>
        <v/>
      </c>
      <c r="P20" s="7">
        <f>IF(N20&gt;=Method!$B$5,"High coverage","Low coverage")</f>
        <v/>
      </c>
      <c r="Q20" s="7" t="inlineStr">
        <is>
          <t>("air pollution" OR "air quality") AND "Indianapolis"</t>
        </is>
      </c>
      <c r="R20" s="7" t="n">
        <v>38381358</v>
      </c>
      <c r="S20" s="7" t="inlineStr">
        <is>
          <t>Indiana, United States - State &amp; Local</t>
        </is>
      </c>
      <c r="T20" s="7" t="n">
        <v>167</v>
      </c>
      <c r="U20" s="7" t="n">
        <v>184</v>
      </c>
      <c r="V20" s="10">
        <f>U20/T20</f>
        <v/>
      </c>
      <c r="W20" s="7">
        <f>RANK(V20,$V$2:$V$37,0)</f>
        <v/>
      </c>
      <c r="X20" s="7">
        <f>IF(V20&gt;=Method!$B$6,"High coverage","Low coverage")</f>
        <v/>
      </c>
      <c r="Y20" s="7">
        <f>O20-W20</f>
        <v/>
      </c>
      <c r="Z20" s="7">
        <f>H20&amp;" / "&amp;P20</f>
        <v/>
      </c>
      <c r="AA20" s="7">
        <f>H20&amp;" / "&amp;X20</f>
        <v/>
      </c>
      <c r="AB20" s="7">
        <f>IF(Z20=AA20,"No","Yes")</f>
        <v/>
      </c>
      <c r="AC20" s="7" t="inlineStr"/>
      <c r="AD20" s="7" t="inlineStr">
        <is>
          <t>https://search.mediacloud.org/api/search/total-count?q="air pollution" OR "air quality"&amp;start=2024-09-25&amp;end=2026-09-25&amp;cs=38381358&amp;platform=onlinenews-mediacloud</t>
        </is>
      </c>
      <c r="AE20" s="7" t="inlineStr">
        <is>
          <t>https://search.mediacloud.org/api/search/total-count?q=%28%22air+pollution%22+OR+%22air+quality%22%29+AND+%22Indianapolis%22&amp;start=2024-09-25&amp;end=2026-09-25&amp;cs=38381358&amp;platform=onlinenews-mediacloud</t>
        </is>
      </c>
    </row>
    <row r="21">
      <c r="A21" s="7" t="n">
        <v>20</v>
      </c>
      <c r="B21" s="8" t="inlineStr">
        <is>
          <t>Carmel</t>
        </is>
      </c>
      <c r="C21" s="8" t="inlineStr">
        <is>
          <t>IN</t>
        </is>
      </c>
      <c r="D21" s="7" t="inlineStr">
        <is>
          <t>Indianapolis-Carmel-Muncie, IN</t>
        </is>
      </c>
      <c r="E21" s="9" t="n">
        <v>14</v>
      </c>
      <c r="F21" s="9" t="n">
        <v>11</v>
      </c>
      <c r="G21" s="10">
        <f>AVERAGE(E21:F21)</f>
        <v/>
      </c>
      <c r="H21" s="7">
        <f>IF(G21&lt;=Method!$B$4,"High pollution","Low pollution")</f>
        <v/>
      </c>
      <c r="I21" s="7" t="inlineStr">
        <is>
          <t>"air pollution" OR "air quality"</t>
        </is>
      </c>
      <c r="J21" s="7" t="n">
        <v>38381358</v>
      </c>
      <c r="K21" s="7" t="inlineStr">
        <is>
          <t>Indiana, United States - State &amp; Local</t>
        </is>
      </c>
      <c r="L21" s="7" t="n">
        <v>167</v>
      </c>
      <c r="M21" s="7" t="n">
        <v>2150</v>
      </c>
      <c r="N21" s="10">
        <f>M21/L21</f>
        <v/>
      </c>
      <c r="O21" s="7">
        <f>RANK(N21,$N$2:$N$37,0)</f>
        <v/>
      </c>
      <c r="P21" s="7">
        <f>IF(N21&gt;=Method!$B$5,"High coverage","Low coverage")</f>
        <v/>
      </c>
      <c r="Q21" s="7" t="inlineStr">
        <is>
          <t>("air pollution" OR "air quality") AND "Carmel"</t>
        </is>
      </c>
      <c r="R21" s="7" t="n">
        <v>38381358</v>
      </c>
      <c r="S21" s="7" t="inlineStr">
        <is>
          <t>Indiana, United States - State &amp; Local</t>
        </is>
      </c>
      <c r="T21" s="7" t="n">
        <v>167</v>
      </c>
      <c r="U21" s="7" t="n">
        <v>26</v>
      </c>
      <c r="V21" s="10">
        <f>U21/T21</f>
        <v/>
      </c>
      <c r="W21" s="7">
        <f>RANK(V21,$V$2:$V$37,0)</f>
        <v/>
      </c>
      <c r="X21" s="7">
        <f>IF(V21&gt;=Method!$B$6,"High coverage","Low coverage")</f>
        <v/>
      </c>
      <c r="Y21" s="7">
        <f>O21-W21</f>
        <v/>
      </c>
      <c r="Z21" s="7">
        <f>H21&amp;" / "&amp;P21</f>
        <v/>
      </c>
      <c r="AA21" s="7">
        <f>H21&amp;" / "&amp;X21</f>
        <v/>
      </c>
      <c r="AB21" s="7">
        <f>IF(Z21=AA21,"No","Yes")</f>
        <v/>
      </c>
      <c r="AC21" s="7" t="inlineStr">
        <is>
          <t>Also Carmel, CA</t>
        </is>
      </c>
      <c r="AD21" s="7" t="inlineStr">
        <is>
          <t>https://search.mediacloud.org/api/search/total-count?q="air pollution" OR "air quality"&amp;start=2024-09-25&amp;end=2026-09-25&amp;cs=38381358&amp;platform=onlinenews-mediacloud</t>
        </is>
      </c>
      <c r="AE21" s="7" t="inlineStr">
        <is>
          <t>https://search.mediacloud.org/api/search/total-count?q=%28%22air+pollution%22+OR+%22air+quality%22%29+AND+%22Carmel%22&amp;start=2024-09-25&amp;end=2026-09-25&amp;cs=38381358&amp;platform=onlinenews-mediacloud</t>
        </is>
      </c>
    </row>
    <row r="22">
      <c r="A22" s="7" t="n">
        <v>21</v>
      </c>
      <c r="B22" s="8" t="inlineStr">
        <is>
          <t>Muncie</t>
        </is>
      </c>
      <c r="C22" s="8" t="inlineStr">
        <is>
          <t>IN</t>
        </is>
      </c>
      <c r="D22" s="7" t="inlineStr">
        <is>
          <t>Indianapolis-Carmel-Muncie, IN</t>
        </is>
      </c>
      <c r="E22" s="9" t="n">
        <v>14</v>
      </c>
      <c r="F22" s="9" t="n">
        <v>11</v>
      </c>
      <c r="G22" s="10">
        <f>AVERAGE(E22:F22)</f>
        <v/>
      </c>
      <c r="H22" s="7">
        <f>IF(G22&lt;=Method!$B$4,"High pollution","Low pollution")</f>
        <v/>
      </c>
      <c r="I22" s="7" t="inlineStr">
        <is>
          <t>"air pollution" OR "air quality"</t>
        </is>
      </c>
      <c r="J22" s="7" t="n">
        <v>38381358</v>
      </c>
      <c r="K22" s="7" t="inlineStr">
        <is>
          <t>Indiana, United States - State &amp; Local</t>
        </is>
      </c>
      <c r="L22" s="7" t="n">
        <v>167</v>
      </c>
      <c r="M22" s="7" t="n">
        <v>2150</v>
      </c>
      <c r="N22" s="10">
        <f>M22/L22</f>
        <v/>
      </c>
      <c r="O22" s="7">
        <f>RANK(N22,$N$2:$N$37,0)</f>
        <v/>
      </c>
      <c r="P22" s="7">
        <f>IF(N22&gt;=Method!$B$5,"High coverage","Low coverage")</f>
        <v/>
      </c>
      <c r="Q22" s="7" t="inlineStr">
        <is>
          <t>("air pollution" OR "air quality") AND "Muncie"</t>
        </is>
      </c>
      <c r="R22" s="7" t="n">
        <v>38381358</v>
      </c>
      <c r="S22" s="7" t="inlineStr">
        <is>
          <t>Indiana, United States - State &amp; Local</t>
        </is>
      </c>
      <c r="T22" s="7" t="n">
        <v>167</v>
      </c>
      <c r="U22" s="7" t="n">
        <v>39</v>
      </c>
      <c r="V22" s="10">
        <f>U22/T22</f>
        <v/>
      </c>
      <c r="W22" s="7">
        <f>RANK(V22,$V$2:$V$37,0)</f>
        <v/>
      </c>
      <c r="X22" s="7">
        <f>IF(V22&gt;=Method!$B$6,"High coverage","Low coverage")</f>
        <v/>
      </c>
      <c r="Y22" s="7">
        <f>O22-W22</f>
        <v/>
      </c>
      <c r="Z22" s="7">
        <f>H22&amp;" / "&amp;P22</f>
        <v/>
      </c>
      <c r="AA22" s="7">
        <f>H22&amp;" / "&amp;X22</f>
        <v/>
      </c>
      <c r="AB22" s="7">
        <f>IF(Z22=AA22,"No","Yes")</f>
        <v/>
      </c>
      <c r="AC22" s="7" t="inlineStr"/>
      <c r="AD22" s="7" t="inlineStr">
        <is>
          <t>https://search.mediacloud.org/api/search/total-count?q="air pollution" OR "air quality"&amp;start=2024-09-25&amp;end=2026-09-25&amp;cs=38381358&amp;platform=onlinenews-mediacloud</t>
        </is>
      </c>
      <c r="AE22" s="7" t="inlineStr">
        <is>
          <t>https://search.mediacloud.org/api/search/total-count?q=%28%22air+pollution%22+OR+%22air+quality%22%29+AND+%22Muncie%22&amp;start=2024-09-25&amp;end=2026-09-25&amp;cs=38381358&amp;platform=onlinenews-mediacloud</t>
        </is>
      </c>
    </row>
    <row r="23">
      <c r="A23" s="7" t="n">
        <v>22</v>
      </c>
      <c r="B23" s="8" t="inlineStr">
        <is>
          <t>Pittsburgh</t>
        </is>
      </c>
      <c r="C23" s="8" t="inlineStr">
        <is>
          <t>PA</t>
        </is>
      </c>
      <c r="D23" s="7" t="inlineStr">
        <is>
          <t>Pittsburgh-Weirton-Steubenville, PA-OH-WV</t>
        </is>
      </c>
      <c r="E23" s="9" t="n">
        <v>11</v>
      </c>
      <c r="F23" s="9" t="n">
        <v>16</v>
      </c>
      <c r="G23" s="10">
        <f>AVERAGE(E23:F23)</f>
        <v/>
      </c>
      <c r="H23" s="7">
        <f>IF(G23&lt;=Method!$B$4,"High pollution","Low pollution")</f>
        <v/>
      </c>
      <c r="I23" s="7" t="inlineStr">
        <is>
          <t>"air pollution" OR "air quality"</t>
        </is>
      </c>
      <c r="J23" s="7" t="n">
        <v>38381340</v>
      </c>
      <c r="K23" s="7" t="inlineStr">
        <is>
          <t>Pennsylvania, United States - State &amp; Local</t>
        </is>
      </c>
      <c r="L23" s="7" t="n">
        <v>249</v>
      </c>
      <c r="M23" s="7" t="n">
        <v>5046</v>
      </c>
      <c r="N23" s="10">
        <f>M23/L23</f>
        <v/>
      </c>
      <c r="O23" s="7">
        <f>RANK(N23,$N$2:$N$37,0)</f>
        <v/>
      </c>
      <c r="P23" s="7">
        <f>IF(N23&gt;=Method!$B$5,"High coverage","Low coverage")</f>
        <v/>
      </c>
      <c r="Q23" s="7" t="inlineStr">
        <is>
          <t>("air pollution" OR "air quality") AND "Pittsburgh"</t>
        </is>
      </c>
      <c r="R23" s="7" t="n">
        <v>38381340</v>
      </c>
      <c r="S23" s="7" t="inlineStr">
        <is>
          <t>Pennsylvania, United States - State &amp; Local</t>
        </is>
      </c>
      <c r="T23" s="7" t="n">
        <v>249</v>
      </c>
      <c r="U23" s="7" t="n">
        <v>453</v>
      </c>
      <c r="V23" s="10">
        <f>U23/T23</f>
        <v/>
      </c>
      <c r="W23" s="7">
        <f>RANK(V23,$V$2:$V$37,0)</f>
        <v/>
      </c>
      <c r="X23" s="7">
        <f>IF(V23&gt;=Method!$B$6,"High coverage","Low coverage")</f>
        <v/>
      </c>
      <c r="Y23" s="7">
        <f>O23-W23</f>
        <v/>
      </c>
      <c r="Z23" s="7">
        <f>H23&amp;" / "&amp;P23</f>
        <v/>
      </c>
      <c r="AA23" s="7">
        <f>H23&amp;" / "&amp;X23</f>
        <v/>
      </c>
      <c r="AB23" s="7">
        <f>IF(Z23=AA23,"No","Yes")</f>
        <v/>
      </c>
      <c r="AC23" s="7" t="inlineStr"/>
      <c r="AD23" s="7" t="inlineStr">
        <is>
          <t>https://search.mediacloud.org/api/search/total-count?q="air pollution" OR "air quality"&amp;start=2024-09-25&amp;end=2026-09-25&amp;cs=38381340&amp;platform=onlinenews-mediacloud</t>
        </is>
      </c>
      <c r="AE23" s="7" t="inlineStr">
        <is>
          <t>https://search.mediacloud.org/api/search/total-count?q=%28%22air+pollution%22+OR+%22air+quality%22%29+AND+%22Pittsburgh%22&amp;start=2024-09-25&amp;end=2026-09-25&amp;cs=38381340&amp;platform=onlinenews-mediacloud</t>
        </is>
      </c>
    </row>
    <row r="24">
      <c r="A24" s="7" t="n">
        <v>23</v>
      </c>
      <c r="B24" s="8" t="inlineStr">
        <is>
          <t>Weirton</t>
        </is>
      </c>
      <c r="C24" s="8" t="inlineStr">
        <is>
          <t>WV</t>
        </is>
      </c>
      <c r="D24" s="7" t="inlineStr">
        <is>
          <t>Pittsburgh-Weirton-Steubenville, PA-OH-WV</t>
        </is>
      </c>
      <c r="E24" s="9" t="n">
        <v>11</v>
      </c>
      <c r="F24" s="9" t="n">
        <v>16</v>
      </c>
      <c r="G24" s="10">
        <f>AVERAGE(E24:F24)</f>
        <v/>
      </c>
      <c r="H24" s="7">
        <f>IF(G24&lt;=Method!$B$4,"High pollution","Low pollution")</f>
        <v/>
      </c>
      <c r="I24" s="7" t="inlineStr">
        <is>
          <t>"air pollution" OR "air quality"</t>
        </is>
      </c>
      <c r="J24" s="7" t="n">
        <v>38381408</v>
      </c>
      <c r="K24" s="7" t="inlineStr">
        <is>
          <t>West Virginia, United States - State &amp; Local</t>
        </is>
      </c>
      <c r="L24" s="7" t="n">
        <v>81</v>
      </c>
      <c r="M24" s="7" t="n">
        <v>1754</v>
      </c>
      <c r="N24" s="10">
        <f>M24/L24</f>
        <v/>
      </c>
      <c r="O24" s="7">
        <f>RANK(N24,$N$2:$N$37,0)</f>
        <v/>
      </c>
      <c r="P24" s="7">
        <f>IF(N24&gt;=Method!$B$5,"High coverage","Low coverage")</f>
        <v/>
      </c>
      <c r="Q24" s="7" t="inlineStr">
        <is>
          <t>("air pollution" OR "air quality") AND "Weirton"</t>
        </is>
      </c>
      <c r="R24" s="7" t="n">
        <v>38381408</v>
      </c>
      <c r="S24" s="7" t="inlineStr">
        <is>
          <t>West Virginia, United States - State &amp; Local</t>
        </is>
      </c>
      <c r="T24" s="7" t="n">
        <v>81</v>
      </c>
      <c r="U24" s="7" t="n">
        <v>7</v>
      </c>
      <c r="V24" s="10">
        <f>U24/T24</f>
        <v/>
      </c>
      <c r="W24" s="7">
        <f>RANK(V24,$V$2:$V$37,0)</f>
        <v/>
      </c>
      <c r="X24" s="7">
        <f>IF(V24&gt;=Method!$B$6,"High coverage","Low coverage")</f>
        <v/>
      </c>
      <c r="Y24" s="7">
        <f>O24-W24</f>
        <v/>
      </c>
      <c r="Z24" s="7">
        <f>H24&amp;" / "&amp;P24</f>
        <v/>
      </c>
      <c r="AA24" s="7">
        <f>H24&amp;" / "&amp;X24</f>
        <v/>
      </c>
      <c r="AB24" s="7">
        <f>IF(Z24=AA24,"No","Yes")</f>
        <v/>
      </c>
      <c r="AC24" s="7" t="inlineStr"/>
      <c r="AD24" s="7" t="inlineStr">
        <is>
          <t>https://search.mediacloud.org/api/search/total-count?q="air pollution" OR "air quality"&amp;start=2024-09-25&amp;end=2026-09-25&amp;cs=38381408&amp;platform=onlinenews-mediacloud</t>
        </is>
      </c>
      <c r="AE24" s="7" t="inlineStr">
        <is>
          <t>https://search.mediacloud.org/api/search/total-count?q=%28%22air+pollution%22+OR+%22air+quality%22%29+AND+%22Weirton%22&amp;start=2024-09-25&amp;end=2026-09-25&amp;cs=38381408&amp;platform=onlinenews-mediacloud</t>
        </is>
      </c>
    </row>
    <row r="25">
      <c r="A25" s="7" t="n">
        <v>24</v>
      </c>
      <c r="B25" s="8" t="inlineStr">
        <is>
          <t>Steubenville</t>
        </is>
      </c>
      <c r="C25" s="8" t="inlineStr">
        <is>
          <t>OH</t>
        </is>
      </c>
      <c r="D25" s="7" t="inlineStr">
        <is>
          <t>Pittsburgh-Weirton-Steubenville, PA-OH-WV</t>
        </is>
      </c>
      <c r="E25" s="9" t="n">
        <v>11</v>
      </c>
      <c r="F25" s="9" t="n">
        <v>16</v>
      </c>
      <c r="G25" s="10">
        <f>AVERAGE(E25:F25)</f>
        <v/>
      </c>
      <c r="H25" s="7">
        <f>IF(G25&lt;=Method!$B$4,"High pollution","Low pollution")</f>
        <v/>
      </c>
      <c r="I25" s="7" t="inlineStr">
        <is>
          <t>"air pollution" OR "air quality"</t>
        </is>
      </c>
      <c r="J25" s="7" t="n">
        <v>38381394</v>
      </c>
      <c r="K25" s="7" t="inlineStr">
        <is>
          <t>Ohio, United States - State &amp; Local</t>
        </is>
      </c>
      <c r="L25" s="7" t="n">
        <v>256</v>
      </c>
      <c r="M25" s="7" t="n">
        <v>3010</v>
      </c>
      <c r="N25" s="10">
        <f>M25/L25</f>
        <v/>
      </c>
      <c r="O25" s="7">
        <f>RANK(N25,$N$2:$N$37,0)</f>
        <v/>
      </c>
      <c r="P25" s="7">
        <f>IF(N25&gt;=Method!$B$5,"High coverage","Low coverage")</f>
        <v/>
      </c>
      <c r="Q25" s="7" t="inlineStr">
        <is>
          <t>("air pollution" OR "air quality") AND "Steubenville"</t>
        </is>
      </c>
      <c r="R25" s="7" t="n">
        <v>38381394</v>
      </c>
      <c r="S25" s="7" t="inlineStr">
        <is>
          <t>Ohio, United States - State &amp; Local</t>
        </is>
      </c>
      <c r="T25" s="7" t="n">
        <v>256</v>
      </c>
      <c r="U25" s="7" t="n">
        <v>5</v>
      </c>
      <c r="V25" s="10">
        <f>U25/T25</f>
        <v/>
      </c>
      <c r="W25" s="7">
        <f>RANK(V25,$V$2:$V$37,0)</f>
        <v/>
      </c>
      <c r="X25" s="7">
        <f>IF(V25&gt;=Method!$B$6,"High coverage","Low coverage")</f>
        <v/>
      </c>
      <c r="Y25" s="7">
        <f>O25-W25</f>
        <v/>
      </c>
      <c r="Z25" s="7">
        <f>H25&amp;" / "&amp;P25</f>
        <v/>
      </c>
      <c r="AA25" s="7">
        <f>H25&amp;" / "&amp;X25</f>
        <v/>
      </c>
      <c r="AB25" s="7">
        <f>IF(Z25=AA25,"No","Yes")</f>
        <v/>
      </c>
      <c r="AC25" s="7" t="inlineStr"/>
      <c r="AD25" s="7" t="inlineStr">
        <is>
          <t>https://search.mediacloud.org/api/search/total-count?q="air pollution" OR "air quality"&amp;start=2024-09-25&amp;end=2026-09-25&amp;cs=38381394&amp;platform=onlinenews-mediacloud</t>
        </is>
      </c>
      <c r="AE25" s="7" t="inlineStr">
        <is>
          <t>https://search.mediacloud.org/api/search/total-count?q=%28%22air+pollution%22+OR+%22air+quality%22%29+AND+%22Steubenville%22&amp;start=2024-09-25&amp;end=2026-09-25&amp;cs=38381394&amp;platform=onlinenews-mediacloud</t>
        </is>
      </c>
    </row>
    <row r="26">
      <c r="A26" s="7" t="n">
        <v>25</v>
      </c>
      <c r="B26" s="8" t="inlineStr">
        <is>
          <t>McAllen</t>
        </is>
      </c>
      <c r="C26" s="8" t="inlineStr">
        <is>
          <t>TX</t>
        </is>
      </c>
      <c r="D26" s="7" t="inlineStr">
        <is>
          <t>McAllen-Edinburg, TX</t>
        </is>
      </c>
      <c r="E26" s="9" t="n">
        <v>10</v>
      </c>
      <c r="F26" s="9" t="n">
        <v>17</v>
      </c>
      <c r="G26" s="10">
        <f>AVERAGE(E26:F26)</f>
        <v/>
      </c>
      <c r="H26" s="7">
        <f>IF(G26&lt;=Method!$B$4,"High pollution","Low pollution")</f>
        <v/>
      </c>
      <c r="I26" s="7" t="inlineStr">
        <is>
          <t>"air pollution" OR "air quality"</t>
        </is>
      </c>
      <c r="J26" s="7" t="n">
        <v>38381323</v>
      </c>
      <c r="K26" s="7" t="inlineStr">
        <is>
          <t>Texas, United States - State &amp; Local</t>
        </is>
      </c>
      <c r="L26" s="7" t="n">
        <v>593</v>
      </c>
      <c r="M26" s="7" t="n">
        <v>6474</v>
      </c>
      <c r="N26" s="10">
        <f>M26/L26</f>
        <v/>
      </c>
      <c r="O26" s="7">
        <f>RANK(N26,$N$2:$N$37,0)</f>
        <v/>
      </c>
      <c r="P26" s="7">
        <f>IF(N26&gt;=Method!$B$5,"High coverage","Low coverage")</f>
        <v/>
      </c>
      <c r="Q26" s="7" t="inlineStr">
        <is>
          <t>("air pollution" OR "air quality") AND "McAllen"</t>
        </is>
      </c>
      <c r="R26" s="7" t="n">
        <v>38381323</v>
      </c>
      <c r="S26" s="7" t="inlineStr">
        <is>
          <t>Texas, United States - State &amp; Local</t>
        </is>
      </c>
      <c r="T26" s="7" t="n">
        <v>593</v>
      </c>
      <c r="U26" s="7" t="n">
        <v>18</v>
      </c>
      <c r="V26" s="10">
        <f>U26/T26</f>
        <v/>
      </c>
      <c r="W26" s="7">
        <f>RANK(V26,$V$2:$V$37,0)</f>
        <v/>
      </c>
      <c r="X26" s="7">
        <f>IF(V26&gt;=Method!$B$6,"High coverage","Low coverage")</f>
        <v/>
      </c>
      <c r="Y26" s="7">
        <f>O26-W26</f>
        <v/>
      </c>
      <c r="Z26" s="7">
        <f>H26&amp;" / "&amp;P26</f>
        <v/>
      </c>
      <c r="AA26" s="7">
        <f>H26&amp;" / "&amp;X26</f>
        <v/>
      </c>
      <c r="AB26" s="7">
        <f>IF(Z26=AA26,"No","Yes")</f>
        <v/>
      </c>
      <c r="AC26" s="7" t="inlineStr"/>
      <c r="AD26" s="7" t="inlineStr">
        <is>
          <t>https://search.mediacloud.org/api/search/total-count?q="air pollution" OR "air quality"&amp;start=2024-09-25&amp;end=2026-09-25&amp;cs=38381323&amp;platform=onlinenews-mediacloud</t>
        </is>
      </c>
      <c r="AE26" s="7" t="inlineStr">
        <is>
          <t>https://search.mediacloud.org/api/search/total-count?q=%28%22air+pollution%22+OR+%22air+quality%22%29+AND+%22McAllen%22&amp;start=2024-09-25&amp;end=2026-09-25&amp;cs=38381323&amp;platform=onlinenews-mediacloud</t>
        </is>
      </c>
    </row>
    <row r="27">
      <c r="A27" s="7" t="n">
        <v>26</v>
      </c>
      <c r="B27" s="8" t="inlineStr">
        <is>
          <t>Edinburg</t>
        </is>
      </c>
      <c r="C27" s="8" t="inlineStr">
        <is>
          <t>TX</t>
        </is>
      </c>
      <c r="D27" s="7" t="inlineStr">
        <is>
          <t>McAllen-Edinburg, TX</t>
        </is>
      </c>
      <c r="E27" s="9" t="n">
        <v>10</v>
      </c>
      <c r="F27" s="9" t="n">
        <v>17</v>
      </c>
      <c r="G27" s="10">
        <f>AVERAGE(E27:F27)</f>
        <v/>
      </c>
      <c r="H27" s="7">
        <f>IF(G27&lt;=Method!$B$4,"High pollution","Low pollution")</f>
        <v/>
      </c>
      <c r="I27" s="7" t="inlineStr">
        <is>
          <t>"air pollution" OR "air quality"</t>
        </is>
      </c>
      <c r="J27" s="7" t="n">
        <v>38381323</v>
      </c>
      <c r="K27" s="7" t="inlineStr">
        <is>
          <t>Texas, United States - State &amp; Local</t>
        </is>
      </c>
      <c r="L27" s="7" t="n">
        <v>593</v>
      </c>
      <c r="M27" s="7" t="n">
        <v>6474</v>
      </c>
      <c r="N27" s="10">
        <f>M27/L27</f>
        <v/>
      </c>
      <c r="O27" s="7">
        <f>RANK(N27,$N$2:$N$37,0)</f>
        <v/>
      </c>
      <c r="P27" s="7">
        <f>IF(N27&gt;=Method!$B$5,"High coverage","Low coverage")</f>
        <v/>
      </c>
      <c r="Q27" s="7" t="inlineStr">
        <is>
          <t>("air pollution" OR "air quality") AND "Edinburg"</t>
        </is>
      </c>
      <c r="R27" s="7" t="n">
        <v>38381323</v>
      </c>
      <c r="S27" s="7" t="inlineStr">
        <is>
          <t>Texas, United States - State &amp; Local</t>
        </is>
      </c>
      <c r="T27" s="7" t="n">
        <v>593</v>
      </c>
      <c r="U27" s="7" t="n">
        <v>5</v>
      </c>
      <c r="V27" s="10">
        <f>U27/T27</f>
        <v/>
      </c>
      <c r="W27" s="7">
        <f>RANK(V27,$V$2:$V$37,0)</f>
        <v/>
      </c>
      <c r="X27" s="7">
        <f>IF(V27&gt;=Method!$B$6,"High coverage","Low coverage")</f>
        <v/>
      </c>
      <c r="Y27" s="7">
        <f>O27-W27</f>
        <v/>
      </c>
      <c r="Z27" s="7">
        <f>H27&amp;" / "&amp;P27</f>
        <v/>
      </c>
      <c r="AA27" s="7">
        <f>H27&amp;" / "&amp;X27</f>
        <v/>
      </c>
      <c r="AB27" s="7">
        <f>IF(Z27=AA27,"No","Yes")</f>
        <v/>
      </c>
      <c r="AC27" s="7" t="inlineStr"/>
      <c r="AD27" s="7" t="inlineStr">
        <is>
          <t>https://search.mediacloud.org/api/search/total-count?q="air pollution" OR "air quality"&amp;start=2024-09-25&amp;end=2026-09-25&amp;cs=38381323&amp;platform=onlinenews-mediacloud</t>
        </is>
      </c>
      <c r="AE27" s="7" t="inlineStr">
        <is>
          <t>https://search.mediacloud.org/api/search/total-count?q=%28%22air+pollution%22+OR+%22air+quality%22%29+AND+%22Edinburg%22&amp;start=2024-09-25&amp;end=2026-09-25&amp;cs=38381323&amp;platform=onlinenews-mediacloud</t>
        </is>
      </c>
    </row>
    <row r="28">
      <c r="A28" s="7" t="n">
        <v>27</v>
      </c>
      <c r="B28" s="8" t="inlineStr">
        <is>
          <t>San Diego</t>
        </is>
      </c>
      <c r="C28" s="8" t="inlineStr">
        <is>
          <t>CA</t>
        </is>
      </c>
      <c r="D28" s="7" t="inlineStr">
        <is>
          <t>San Diego-Chula Vista-Carlsbad, CA</t>
        </is>
      </c>
      <c r="E28" s="9" t="n"/>
      <c r="F28" s="9" t="n">
        <v>5</v>
      </c>
      <c r="G28" s="10">
        <f>AVERAGE(E28:F28)</f>
        <v/>
      </c>
      <c r="H28" s="7">
        <f>IF(G28&lt;=Method!$B$4,"High pollution","Low pollution")</f>
        <v/>
      </c>
      <c r="I28" s="7" t="inlineStr">
        <is>
          <t>"air pollution" OR "air quality"</t>
        </is>
      </c>
      <c r="J28" s="7" t="n">
        <v>38380550</v>
      </c>
      <c r="K28" s="7" t="inlineStr">
        <is>
          <t>California, United States -State &amp; Local</t>
        </is>
      </c>
      <c r="L28" s="7" t="n">
        <v>1283</v>
      </c>
      <c r="M28" s="7" t="n">
        <v>26181</v>
      </c>
      <c r="N28" s="10">
        <f>M28/L28</f>
        <v/>
      </c>
      <c r="O28" s="7">
        <f>RANK(N28,$N$2:$N$37,0)</f>
        <v/>
      </c>
      <c r="P28" s="7">
        <f>IF(N28&gt;=Method!$B$5,"High coverage","Low coverage")</f>
        <v/>
      </c>
      <c r="Q28" s="7" t="inlineStr">
        <is>
          <t>("air pollution" OR "air quality") AND "San Diego"</t>
        </is>
      </c>
      <c r="R28" s="7" t="n">
        <v>38380550</v>
      </c>
      <c r="S28" s="7" t="inlineStr">
        <is>
          <t>California, United States -State &amp; Local</t>
        </is>
      </c>
      <c r="T28" s="7" t="n">
        <v>1283</v>
      </c>
      <c r="U28" s="7" t="n">
        <v>1920</v>
      </c>
      <c r="V28" s="10">
        <f>U28/T28</f>
        <v/>
      </c>
      <c r="W28" s="7">
        <f>RANK(V28,$V$2:$V$37,0)</f>
        <v/>
      </c>
      <c r="X28" s="7">
        <f>IF(V28&gt;=Method!$B$6,"High coverage","Low coverage")</f>
        <v/>
      </c>
      <c r="Y28" s="7">
        <f>O28-W28</f>
        <v/>
      </c>
      <c r="Z28" s="7">
        <f>H28&amp;" / "&amp;P28</f>
        <v/>
      </c>
      <c r="AA28" s="7">
        <f>H28&amp;" / "&amp;X28</f>
        <v/>
      </c>
      <c r="AB28" s="7">
        <f>IF(Z28=AA28,"No","Yes")</f>
        <v/>
      </c>
      <c r="AC28" s="7" t="inlineStr"/>
      <c r="AD28" s="7" t="inlineStr">
        <is>
          <t>https://search.mediacloud.org/api/search/total-count?q="air pollution" OR "air quality"&amp;start=2024-09-25&amp;end=2026-09-25&amp;cs=38380550&amp;platform=onlinenews-mediacloud</t>
        </is>
      </c>
      <c r="AE28" s="7" t="inlineStr">
        <is>
          <t>https://search.mediacloud.org/api/search/total-count?q=%28%22air+pollution%22+OR+%22air+quality%22%29+AND+%22San+Diego%22&amp;start=2024-09-25&amp;end=2026-09-25&amp;cs=38380550&amp;platform=onlinenews-mediacloud</t>
        </is>
      </c>
    </row>
    <row r="29">
      <c r="A29" s="7" t="n">
        <v>28</v>
      </c>
      <c r="B29" s="8" t="inlineStr">
        <is>
          <t>Chula Vista</t>
        </is>
      </c>
      <c r="C29" s="8" t="inlineStr">
        <is>
          <t>CA</t>
        </is>
      </c>
      <c r="D29" s="7" t="inlineStr">
        <is>
          <t>San Diego-Chula Vista-Carlsbad, CA</t>
        </is>
      </c>
      <c r="E29" s="9" t="n"/>
      <c r="F29" s="9" t="n">
        <v>5</v>
      </c>
      <c r="G29" s="10">
        <f>AVERAGE(E29:F29)</f>
        <v/>
      </c>
      <c r="H29" s="7">
        <f>IF(G29&lt;=Method!$B$4,"High pollution","Low pollution")</f>
        <v/>
      </c>
      <c r="I29" s="7" t="inlineStr">
        <is>
          <t>"air pollution" OR "air quality"</t>
        </is>
      </c>
      <c r="J29" s="7" t="n">
        <v>38380550</v>
      </c>
      <c r="K29" s="7" t="inlineStr">
        <is>
          <t>California, United States -State &amp; Local</t>
        </is>
      </c>
      <c r="L29" s="7" t="n">
        <v>1283</v>
      </c>
      <c r="M29" s="7" t="n">
        <v>26181</v>
      </c>
      <c r="N29" s="10">
        <f>M29/L29</f>
        <v/>
      </c>
      <c r="O29" s="7">
        <f>RANK(N29,$N$2:$N$37,0)</f>
        <v/>
      </c>
      <c r="P29" s="7">
        <f>IF(N29&gt;=Method!$B$5,"High coverage","Low coverage")</f>
        <v/>
      </c>
      <c r="Q29" s="7" t="inlineStr">
        <is>
          <t>("air pollution" OR "air quality") AND "Chula Vista"</t>
        </is>
      </c>
      <c r="R29" s="7" t="n">
        <v>38380550</v>
      </c>
      <c r="S29" s="7" t="inlineStr">
        <is>
          <t>California, United States -State &amp; Local</t>
        </is>
      </c>
      <c r="T29" s="7" t="n">
        <v>1283</v>
      </c>
      <c r="U29" s="7" t="n">
        <v>183</v>
      </c>
      <c r="V29" s="10">
        <f>U29/T29</f>
        <v/>
      </c>
      <c r="W29" s="7">
        <f>RANK(V29,$V$2:$V$37,0)</f>
        <v/>
      </c>
      <c r="X29" s="7">
        <f>IF(V29&gt;=Method!$B$6,"High coverage","Low coverage")</f>
        <v/>
      </c>
      <c r="Y29" s="7">
        <f>O29-W29</f>
        <v/>
      </c>
      <c r="Z29" s="7">
        <f>H29&amp;" / "&amp;P29</f>
        <v/>
      </c>
      <c r="AA29" s="7">
        <f>H29&amp;" / "&amp;X29</f>
        <v/>
      </c>
      <c r="AB29" s="7">
        <f>IF(Z29=AA29,"No","Yes")</f>
        <v/>
      </c>
      <c r="AC29" s="7" t="inlineStr"/>
      <c r="AD29" s="7" t="inlineStr">
        <is>
          <t>https://search.mediacloud.org/api/search/total-count?q="air pollution" OR "air quality"&amp;start=2024-09-25&amp;end=2026-09-25&amp;cs=38380550&amp;platform=onlinenews-mediacloud</t>
        </is>
      </c>
      <c r="AE29" s="7" t="inlineStr">
        <is>
          <t>https://search.mediacloud.org/api/search/total-count?q=%28%22air+pollution%22+OR+%22air+quality%22%29+AND+%22Chula+Vista%22&amp;start=2024-09-25&amp;end=2026-09-25&amp;cs=38380550&amp;platform=onlinenews-mediacloud</t>
        </is>
      </c>
    </row>
    <row r="30">
      <c r="A30" s="7" t="n">
        <v>29</v>
      </c>
      <c r="B30" s="8" t="inlineStr">
        <is>
          <t>Carlsbad</t>
        </is>
      </c>
      <c r="C30" s="8" t="inlineStr">
        <is>
          <t>CA</t>
        </is>
      </c>
      <c r="D30" s="7" t="inlineStr">
        <is>
          <t>San Diego-Chula Vista-Carlsbad, CA</t>
        </is>
      </c>
      <c r="E30" s="9" t="n"/>
      <c r="F30" s="9" t="n">
        <v>5</v>
      </c>
      <c r="G30" s="10">
        <f>AVERAGE(E30:F30)</f>
        <v/>
      </c>
      <c r="H30" s="7">
        <f>IF(G30&lt;=Method!$B$4,"High pollution","Low pollution")</f>
        <v/>
      </c>
      <c r="I30" s="7" t="inlineStr">
        <is>
          <t>"air pollution" OR "air quality"</t>
        </is>
      </c>
      <c r="J30" s="7" t="n">
        <v>38380550</v>
      </c>
      <c r="K30" s="7" t="inlineStr">
        <is>
          <t>California, United States -State &amp; Local</t>
        </is>
      </c>
      <c r="L30" s="7" t="n">
        <v>1283</v>
      </c>
      <c r="M30" s="7" t="n">
        <v>26181</v>
      </c>
      <c r="N30" s="10">
        <f>M30/L30</f>
        <v/>
      </c>
      <c r="O30" s="7">
        <f>RANK(N30,$N$2:$N$37,0)</f>
        <v/>
      </c>
      <c r="P30" s="7">
        <f>IF(N30&gt;=Method!$B$5,"High coverage","Low coverage")</f>
        <v/>
      </c>
      <c r="Q30" s="7" t="inlineStr">
        <is>
          <t>("air pollution" OR "air quality") AND "Carlsbad"</t>
        </is>
      </c>
      <c r="R30" s="7" t="n">
        <v>38380550</v>
      </c>
      <c r="S30" s="7" t="inlineStr">
        <is>
          <t>California, United States -State &amp; Local</t>
        </is>
      </c>
      <c r="T30" s="7" t="n">
        <v>1283</v>
      </c>
      <c r="U30" s="7" t="n">
        <v>107</v>
      </c>
      <c r="V30" s="10">
        <f>U30/T30</f>
        <v/>
      </c>
      <c r="W30" s="7">
        <f>RANK(V30,$V$2:$V$37,0)</f>
        <v/>
      </c>
      <c r="X30" s="7">
        <f>IF(V30&gt;=Method!$B$6,"High coverage","Low coverage")</f>
        <v/>
      </c>
      <c r="Y30" s="7">
        <f>O30-W30</f>
        <v/>
      </c>
      <c r="Z30" s="7">
        <f>H30&amp;" / "&amp;P30</f>
        <v/>
      </c>
      <c r="AA30" s="7">
        <f>H30&amp;" / "&amp;X30</f>
        <v/>
      </c>
      <c r="AB30" s="7">
        <f>IF(Z30=AA30,"No","Yes")</f>
        <v/>
      </c>
      <c r="AC30" s="7" t="inlineStr"/>
      <c r="AD30" s="7" t="inlineStr">
        <is>
          <t>https://search.mediacloud.org/api/search/total-count?q="air pollution" OR "air quality"&amp;start=2024-09-25&amp;end=2026-09-25&amp;cs=38380550&amp;platform=onlinenews-mediacloud</t>
        </is>
      </c>
      <c r="AE30" s="7" t="inlineStr">
        <is>
          <t>https://search.mediacloud.org/api/search/total-count?q=%28%22air+pollution%22+OR+%22air+quality%22%29+AND+%22Carlsbad%22&amp;start=2024-09-25&amp;end=2026-09-25&amp;cs=38380550&amp;platform=onlinenews-mediacloud</t>
        </is>
      </c>
    </row>
    <row r="31">
      <c r="A31" s="7" t="n">
        <v>30</v>
      </c>
      <c r="B31" s="8" t="inlineStr">
        <is>
          <t>Phoenix</t>
        </is>
      </c>
      <c r="C31" s="8" t="inlineStr">
        <is>
          <t>AZ</t>
        </is>
      </c>
      <c r="D31" s="7" t="inlineStr">
        <is>
          <t>Phoenix-Mesa, AZ</t>
        </is>
      </c>
      <c r="E31" s="9" t="n">
        <v>17</v>
      </c>
      <c r="F31" s="9" t="n">
        <v>15</v>
      </c>
      <c r="G31" s="10">
        <f>AVERAGE(E31:F31)</f>
        <v/>
      </c>
      <c r="H31" s="7">
        <f>IF(G31&lt;=Method!$B$4,"High pollution","Low pollution")</f>
        <v/>
      </c>
      <c r="I31" s="7" t="inlineStr">
        <is>
          <t>"air pollution" OR "air quality"</t>
        </is>
      </c>
      <c r="J31" s="7" t="n">
        <v>38381317</v>
      </c>
      <c r="K31" s="7" t="inlineStr">
        <is>
          <t>Arizona, United States - State &amp; Local</t>
        </is>
      </c>
      <c r="L31" s="7" t="n">
        <v>139</v>
      </c>
      <c r="M31" s="7" t="n">
        <v>1211</v>
      </c>
      <c r="N31" s="10">
        <f>M31/L31</f>
        <v/>
      </c>
      <c r="O31" s="7">
        <f>RANK(N31,$N$2:$N$37,0)</f>
        <v/>
      </c>
      <c r="P31" s="7">
        <f>IF(N31&gt;=Method!$B$5,"High coverage","Low coverage")</f>
        <v/>
      </c>
      <c r="Q31" s="7" t="inlineStr">
        <is>
          <t>("air pollution" OR "air quality") AND "Phoenix"</t>
        </is>
      </c>
      <c r="R31" s="7" t="n">
        <v>38381317</v>
      </c>
      <c r="S31" s="7" t="inlineStr">
        <is>
          <t>Arizona, United States - State &amp; Local</t>
        </is>
      </c>
      <c r="T31" s="7" t="n">
        <v>139</v>
      </c>
      <c r="U31" s="7" t="n">
        <v>438</v>
      </c>
      <c r="V31" s="10">
        <f>U31/T31</f>
        <v/>
      </c>
      <c r="W31" s="7">
        <f>RANK(V31,$V$2:$V$37,0)</f>
        <v/>
      </c>
      <c r="X31" s="7">
        <f>IF(V31&gt;=Method!$B$6,"High coverage","Low coverage")</f>
        <v/>
      </c>
      <c r="Y31" s="7">
        <f>O31-W31</f>
        <v/>
      </c>
      <c r="Z31" s="7">
        <f>H31&amp;" / "&amp;P31</f>
        <v/>
      </c>
      <c r="AA31" s="7">
        <f>H31&amp;" / "&amp;X31</f>
        <v/>
      </c>
      <c r="AB31" s="7">
        <f>IF(Z31=AA31,"No","Yes")</f>
        <v/>
      </c>
      <c r="AC31" s="7" t="inlineStr"/>
      <c r="AD31" s="7" t="inlineStr">
        <is>
          <t>https://search.mediacloud.org/api/search/total-count?q="air pollution" OR "air quality"&amp;start=2024-09-25&amp;end=2026-09-25&amp;cs=38381317&amp;platform=onlinenews-mediacloud</t>
        </is>
      </c>
      <c r="AE31" s="7" t="inlineStr">
        <is>
          <t>https://search.mediacloud.org/api/search/total-count?q=%28%22air+pollution%22+OR+%22air+quality%22%29+AND+%22Phoenix%22&amp;start=2024-09-25&amp;end=2026-09-25&amp;cs=38381317&amp;platform=onlinenews-mediacloud</t>
        </is>
      </c>
    </row>
    <row r="32">
      <c r="A32" s="7" t="n">
        <v>31</v>
      </c>
      <c r="B32" s="8" t="inlineStr">
        <is>
          <t>Mesa</t>
        </is>
      </c>
      <c r="C32" s="8" t="inlineStr">
        <is>
          <t>AZ</t>
        </is>
      </c>
      <c r="D32" s="7" t="inlineStr">
        <is>
          <t>Phoenix-Mesa, AZ</t>
        </is>
      </c>
      <c r="E32" s="9" t="n">
        <v>17</v>
      </c>
      <c r="F32" s="9" t="n">
        <v>15</v>
      </c>
      <c r="G32" s="10">
        <f>AVERAGE(E32:F32)</f>
        <v/>
      </c>
      <c r="H32" s="7">
        <f>IF(G32&lt;=Method!$B$4,"High pollution","Low pollution")</f>
        <v/>
      </c>
      <c r="I32" s="7" t="inlineStr">
        <is>
          <t>"air pollution" OR "air quality"</t>
        </is>
      </c>
      <c r="J32" s="7" t="n">
        <v>38381317</v>
      </c>
      <c r="K32" s="7" t="inlineStr">
        <is>
          <t>Arizona, United States - State &amp; Local</t>
        </is>
      </c>
      <c r="L32" s="7" t="n">
        <v>139</v>
      </c>
      <c r="M32" s="7" t="n">
        <v>1211</v>
      </c>
      <c r="N32" s="10">
        <f>M32/L32</f>
        <v/>
      </c>
      <c r="O32" s="7">
        <f>RANK(N32,$N$2:$N$37,0)</f>
        <v/>
      </c>
      <c r="P32" s="7">
        <f>IF(N32&gt;=Method!$B$5,"High coverage","Low coverage")</f>
        <v/>
      </c>
      <c r="Q32" s="7" t="inlineStr">
        <is>
          <t>("air pollution" OR "air quality") AND "Mesa"</t>
        </is>
      </c>
      <c r="R32" s="7" t="n">
        <v>38381317</v>
      </c>
      <c r="S32" s="7" t="inlineStr">
        <is>
          <t>Arizona, United States - State &amp; Local</t>
        </is>
      </c>
      <c r="T32" s="7" t="n">
        <v>139</v>
      </c>
      <c r="U32" s="7" t="n">
        <v>74</v>
      </c>
      <c r="V32" s="10">
        <f>U32/T32</f>
        <v/>
      </c>
      <c r="W32" s="7">
        <f>RANK(V32,$V$2:$V$37,0)</f>
        <v/>
      </c>
      <c r="X32" s="7">
        <f>IF(V32&gt;=Method!$B$6,"High coverage","Low coverage")</f>
        <v/>
      </c>
      <c r="Y32" s="7">
        <f>O32-W32</f>
        <v/>
      </c>
      <c r="Z32" s="7">
        <f>H32&amp;" / "&amp;P32</f>
        <v/>
      </c>
      <c r="AA32" s="7">
        <f>H32&amp;" / "&amp;X32</f>
        <v/>
      </c>
      <c r="AB32" s="7">
        <f>IF(Z32=AA32,"No","Yes")</f>
        <v/>
      </c>
      <c r="AC32" s="7" t="inlineStr">
        <is>
          <t>Also a common word / other places</t>
        </is>
      </c>
      <c r="AD32" s="7" t="inlineStr">
        <is>
          <t>https://search.mediacloud.org/api/search/total-count?q="air pollution" OR "air quality"&amp;start=2024-09-25&amp;end=2026-09-25&amp;cs=38381317&amp;platform=onlinenews-mediacloud</t>
        </is>
      </c>
      <c r="AE32" s="7" t="inlineStr">
        <is>
          <t>https://search.mediacloud.org/api/search/total-count?q=%28%22air+pollution%22+OR+%22air+quality%22%29+AND+%22Mesa%22&amp;start=2024-09-25&amp;end=2026-09-25&amp;cs=38381317&amp;platform=onlinenews-mediacloud</t>
        </is>
      </c>
    </row>
    <row r="33">
      <c r="A33" s="7" t="n">
        <v>32</v>
      </c>
      <c r="B33" s="8" t="inlineStr">
        <is>
          <t>San Jose</t>
        </is>
      </c>
      <c r="C33" s="8" t="inlineStr">
        <is>
          <t>CA</t>
        </is>
      </c>
      <c r="D33" s="7" t="inlineStr">
        <is>
          <t>San Jose-San Francisco-Oakland, CA</t>
        </is>
      </c>
      <c r="E33" s="9" t="n">
        <v>20</v>
      </c>
      <c r="F33" s="9" t="n">
        <v>13</v>
      </c>
      <c r="G33" s="10">
        <f>AVERAGE(E33:F33)</f>
        <v/>
      </c>
      <c r="H33" s="7">
        <f>IF(G33&lt;=Method!$B$4,"High pollution","Low pollution")</f>
        <v/>
      </c>
      <c r="I33" s="7" t="inlineStr">
        <is>
          <t>"air pollution" OR "air quality"</t>
        </is>
      </c>
      <c r="J33" s="7" t="n">
        <v>38380550</v>
      </c>
      <c r="K33" s="7" t="inlineStr">
        <is>
          <t>California, United States -State &amp; Local</t>
        </is>
      </c>
      <c r="L33" s="7" t="n">
        <v>1283</v>
      </c>
      <c r="M33" s="7" t="n">
        <v>26181</v>
      </c>
      <c r="N33" s="10">
        <f>M33/L33</f>
        <v/>
      </c>
      <c r="O33" s="7">
        <f>RANK(N33,$N$2:$N$37,0)</f>
        <v/>
      </c>
      <c r="P33" s="7">
        <f>IF(N33&gt;=Method!$B$5,"High coverage","Low coverage")</f>
        <v/>
      </c>
      <c r="Q33" s="7" t="inlineStr">
        <is>
          <t>("air pollution" OR "air quality") AND "San Jose"</t>
        </is>
      </c>
      <c r="R33" s="7" t="n">
        <v>38380550</v>
      </c>
      <c r="S33" s="7" t="inlineStr">
        <is>
          <t>California, United States -State &amp; Local</t>
        </is>
      </c>
      <c r="T33" s="7" t="n">
        <v>1283</v>
      </c>
      <c r="U33" s="7" t="n">
        <v>803</v>
      </c>
      <c r="V33" s="10">
        <f>U33/T33</f>
        <v/>
      </c>
      <c r="W33" s="7">
        <f>RANK(V33,$V$2:$V$37,0)</f>
        <v/>
      </c>
      <c r="X33" s="7">
        <f>IF(V33&gt;=Method!$B$6,"High coverage","Low coverage")</f>
        <v/>
      </c>
      <c r="Y33" s="7">
        <f>O33-W33</f>
        <v/>
      </c>
      <c r="Z33" s="7">
        <f>H33&amp;" / "&amp;P33</f>
        <v/>
      </c>
      <c r="AA33" s="7">
        <f>H33&amp;" / "&amp;X33</f>
        <v/>
      </c>
      <c r="AB33" s="7">
        <f>IF(Z33=AA33,"No","Yes")</f>
        <v/>
      </c>
      <c r="AC33" s="7" t="inlineStr"/>
      <c r="AD33" s="7" t="inlineStr">
        <is>
          <t>https://search.mediacloud.org/api/search/total-count?q="air pollution" OR "air quality"&amp;start=2024-09-25&amp;end=2026-09-25&amp;cs=38380550&amp;platform=onlinenews-mediacloud</t>
        </is>
      </c>
      <c r="AE33" s="7" t="inlineStr">
        <is>
          <t>https://search.mediacloud.org/api/search/total-count?q=%28%22air+pollution%22+OR+%22air+quality%22%29+AND+%22San+Jose%22&amp;start=2024-09-25&amp;end=2026-09-25&amp;cs=38380550&amp;platform=onlinenews-mediacloud</t>
        </is>
      </c>
    </row>
    <row r="34">
      <c r="A34" s="7" t="n">
        <v>33</v>
      </c>
      <c r="B34" s="8" t="inlineStr">
        <is>
          <t>San Francisco</t>
        </is>
      </c>
      <c r="C34" s="8" t="inlineStr">
        <is>
          <t>CA</t>
        </is>
      </c>
      <c r="D34" s="7" t="inlineStr">
        <is>
          <t>San Jose-San Francisco-Oakland, CA</t>
        </is>
      </c>
      <c r="E34" s="9" t="n">
        <v>20</v>
      </c>
      <c r="F34" s="9" t="n">
        <v>13</v>
      </c>
      <c r="G34" s="10">
        <f>AVERAGE(E34:F34)</f>
        <v/>
      </c>
      <c r="H34" s="7">
        <f>IF(G34&lt;=Method!$B$4,"High pollution","Low pollution")</f>
        <v/>
      </c>
      <c r="I34" s="7" t="inlineStr">
        <is>
          <t>"air pollution" OR "air quality"</t>
        </is>
      </c>
      <c r="J34" s="7" t="n">
        <v>38380550</v>
      </c>
      <c r="K34" s="7" t="inlineStr">
        <is>
          <t>California, United States -State &amp; Local</t>
        </is>
      </c>
      <c r="L34" s="7" t="n">
        <v>1283</v>
      </c>
      <c r="M34" s="7" t="n">
        <v>26181</v>
      </c>
      <c r="N34" s="10">
        <f>M34/L34</f>
        <v/>
      </c>
      <c r="O34" s="7">
        <f>RANK(N34,$N$2:$N$37,0)</f>
        <v/>
      </c>
      <c r="P34" s="7">
        <f>IF(N34&gt;=Method!$B$5,"High coverage","Low coverage")</f>
        <v/>
      </c>
      <c r="Q34" s="7" t="inlineStr">
        <is>
          <t>("air pollution" OR "air quality") AND "San Francisco"</t>
        </is>
      </c>
      <c r="R34" s="7" t="n">
        <v>38380550</v>
      </c>
      <c r="S34" s="7" t="inlineStr">
        <is>
          <t>California, United States -State &amp; Local</t>
        </is>
      </c>
      <c r="T34" s="7" t="n">
        <v>1283</v>
      </c>
      <c r="U34" s="7" t="n">
        <v>2422</v>
      </c>
      <c r="V34" s="10">
        <f>U34/T34</f>
        <v/>
      </c>
      <c r="W34" s="7">
        <f>RANK(V34,$V$2:$V$37,0)</f>
        <v/>
      </c>
      <c r="X34" s="7">
        <f>IF(V34&gt;=Method!$B$6,"High coverage","Low coverage")</f>
        <v/>
      </c>
      <c r="Y34" s="7">
        <f>O34-W34</f>
        <v/>
      </c>
      <c r="Z34" s="7">
        <f>H34&amp;" / "&amp;P34</f>
        <v/>
      </c>
      <c r="AA34" s="7">
        <f>H34&amp;" / "&amp;X34</f>
        <v/>
      </c>
      <c r="AB34" s="7">
        <f>IF(Z34=AA34,"No","Yes")</f>
        <v/>
      </c>
      <c r="AC34" s="7" t="inlineStr"/>
      <c r="AD34" s="7" t="inlineStr">
        <is>
          <t>https://search.mediacloud.org/api/search/total-count?q="air pollution" OR "air quality"&amp;start=2024-09-25&amp;end=2026-09-25&amp;cs=38380550&amp;platform=onlinenews-mediacloud</t>
        </is>
      </c>
      <c r="AE34" s="7" t="inlineStr">
        <is>
          <t>https://search.mediacloud.org/api/search/total-count?q=%28%22air+pollution%22+OR+%22air+quality%22%29+AND+%22San+Francisco%22&amp;start=2024-09-25&amp;end=2026-09-25&amp;cs=38380550&amp;platform=onlinenews-mediacloud</t>
        </is>
      </c>
    </row>
    <row r="35">
      <c r="A35" s="7" t="n">
        <v>34</v>
      </c>
      <c r="B35" s="8" t="inlineStr">
        <is>
          <t>Oakland</t>
        </is>
      </c>
      <c r="C35" s="8" t="inlineStr">
        <is>
          <t>CA</t>
        </is>
      </c>
      <c r="D35" s="7" t="inlineStr">
        <is>
          <t>San Jose-San Francisco-Oakland, CA</t>
        </is>
      </c>
      <c r="E35" s="9" t="n">
        <v>20</v>
      </c>
      <c r="F35" s="9" t="n">
        <v>13</v>
      </c>
      <c r="G35" s="10">
        <f>AVERAGE(E35:F35)</f>
        <v/>
      </c>
      <c r="H35" s="7">
        <f>IF(G35&lt;=Method!$B$4,"High pollution","Low pollution")</f>
        <v/>
      </c>
      <c r="I35" s="7" t="inlineStr">
        <is>
          <t>"air pollution" OR "air quality"</t>
        </is>
      </c>
      <c r="J35" s="7" t="n">
        <v>38380550</v>
      </c>
      <c r="K35" s="7" t="inlineStr">
        <is>
          <t>California, United States -State &amp; Local</t>
        </is>
      </c>
      <c r="L35" s="7" t="n">
        <v>1283</v>
      </c>
      <c r="M35" s="7" t="n">
        <v>26181</v>
      </c>
      <c r="N35" s="10">
        <f>M35/L35</f>
        <v/>
      </c>
      <c r="O35" s="7">
        <f>RANK(N35,$N$2:$N$37,0)</f>
        <v/>
      </c>
      <c r="P35" s="7">
        <f>IF(N35&gt;=Method!$B$5,"High coverage","Low coverage")</f>
        <v/>
      </c>
      <c r="Q35" s="7" t="inlineStr">
        <is>
          <t>("air pollution" OR "air quality") AND "Oakland"</t>
        </is>
      </c>
      <c r="R35" s="7" t="n">
        <v>38380550</v>
      </c>
      <c r="S35" s="7" t="inlineStr">
        <is>
          <t>California, United States -State &amp; Local</t>
        </is>
      </c>
      <c r="T35" s="7" t="n">
        <v>1283</v>
      </c>
      <c r="U35" s="7" t="n">
        <v>1090</v>
      </c>
      <c r="V35" s="10">
        <f>U35/T35</f>
        <v/>
      </c>
      <c r="W35" s="7">
        <f>RANK(V35,$V$2:$V$37,0)</f>
        <v/>
      </c>
      <c r="X35" s="7">
        <f>IF(V35&gt;=Method!$B$6,"High coverage","Low coverage")</f>
        <v/>
      </c>
      <c r="Y35" s="7">
        <f>O35-W35</f>
        <v/>
      </c>
      <c r="Z35" s="7">
        <f>H35&amp;" / "&amp;P35</f>
        <v/>
      </c>
      <c r="AA35" s="7">
        <f>H35&amp;" / "&amp;X35</f>
        <v/>
      </c>
      <c r="AB35" s="7">
        <f>IF(Z35=AA35,"No","Yes")</f>
        <v/>
      </c>
      <c r="AC35" s="7" t="inlineStr"/>
      <c r="AD35" s="7" t="inlineStr">
        <is>
          <t>https://search.mediacloud.org/api/search/total-count?q="air pollution" OR "air quality"&amp;start=2024-09-25&amp;end=2026-09-25&amp;cs=38380550&amp;platform=onlinenews-mediacloud</t>
        </is>
      </c>
      <c r="AE35" s="7" t="inlineStr">
        <is>
          <t>https://search.mediacloud.org/api/search/total-count?q=%28%22air+pollution%22+OR+%22air+quality%22%29+AND+%22Oakland%22&amp;start=2024-09-25&amp;end=2026-09-25&amp;cs=38380550&amp;platform=onlinenews-mediacloud</t>
        </is>
      </c>
    </row>
    <row r="36">
      <c r="A36" s="7" t="n">
        <v>35</v>
      </c>
      <c r="B36" s="8" t="inlineStr">
        <is>
          <t>Houston</t>
        </is>
      </c>
      <c r="C36" s="8" t="inlineStr">
        <is>
          <t>TX</t>
        </is>
      </c>
      <c r="D36" s="7" t="inlineStr">
        <is>
          <t>Houston-Pasadena, TX</t>
        </is>
      </c>
      <c r="E36" s="9" t="n"/>
      <c r="F36" s="9" t="n">
        <v>8</v>
      </c>
      <c r="G36" s="10">
        <f>AVERAGE(E36:F36)</f>
        <v/>
      </c>
      <c r="H36" s="7">
        <f>IF(G36&lt;=Method!$B$4,"High pollution","Low pollution")</f>
        <v/>
      </c>
      <c r="I36" s="7" t="inlineStr">
        <is>
          <t>"air pollution" OR "air quality"</t>
        </is>
      </c>
      <c r="J36" s="7" t="n">
        <v>38381323</v>
      </c>
      <c r="K36" s="7" t="inlineStr">
        <is>
          <t>Texas, United States - State &amp; Local</t>
        </is>
      </c>
      <c r="L36" s="7" t="n">
        <v>593</v>
      </c>
      <c r="M36" s="7" t="n">
        <v>6474</v>
      </c>
      <c r="N36" s="10">
        <f>M36/L36</f>
        <v/>
      </c>
      <c r="O36" s="7">
        <f>RANK(N36,$N$2:$N$37,0)</f>
        <v/>
      </c>
      <c r="P36" s="7">
        <f>IF(N36&gt;=Method!$B$5,"High coverage","Low coverage")</f>
        <v/>
      </c>
      <c r="Q36" s="7" t="inlineStr">
        <is>
          <t>("air pollution" OR "air quality") AND "Houston"</t>
        </is>
      </c>
      <c r="R36" s="7" t="n">
        <v>38381323</v>
      </c>
      <c r="S36" s="7" t="inlineStr">
        <is>
          <t>Texas, United States - State &amp; Local</t>
        </is>
      </c>
      <c r="T36" s="7" t="n">
        <v>593</v>
      </c>
      <c r="U36" s="7" t="n">
        <v>624</v>
      </c>
      <c r="V36" s="10">
        <f>U36/T36</f>
        <v/>
      </c>
      <c r="W36" s="7">
        <f>RANK(V36,$V$2:$V$37,0)</f>
        <v/>
      </c>
      <c r="X36" s="7">
        <f>IF(V36&gt;=Method!$B$6,"High coverage","Low coverage")</f>
        <v/>
      </c>
      <c r="Y36" s="7">
        <f>O36-W36</f>
        <v/>
      </c>
      <c r="Z36" s="7">
        <f>H36&amp;" / "&amp;P36</f>
        <v/>
      </c>
      <c r="AA36" s="7">
        <f>H36&amp;" / "&amp;X36</f>
        <v/>
      </c>
      <c r="AB36" s="7">
        <f>IF(Z36=AA36,"No","Yes")</f>
        <v/>
      </c>
      <c r="AC36" s="7" t="inlineStr"/>
      <c r="AD36" s="7" t="inlineStr">
        <is>
          <t>https://search.mediacloud.org/api/search/total-count?q="air pollution" OR "air quality"&amp;start=2024-09-25&amp;end=2026-09-25&amp;cs=38381323&amp;platform=onlinenews-mediacloud</t>
        </is>
      </c>
      <c r="AE36" s="7" t="inlineStr">
        <is>
          <t>https://search.mediacloud.org/api/search/total-count?q=%28%22air+pollution%22+OR+%22air+quality%22%29+AND+%22Houston%22&amp;start=2024-09-25&amp;end=2026-09-25&amp;cs=38381323&amp;platform=onlinenews-mediacloud</t>
        </is>
      </c>
    </row>
    <row r="37">
      <c r="A37" s="7" t="n">
        <v>36</v>
      </c>
      <c r="B37" s="8" t="inlineStr">
        <is>
          <t>Pasadena</t>
        </is>
      </c>
      <c r="C37" s="8" t="inlineStr">
        <is>
          <t>TX</t>
        </is>
      </c>
      <c r="D37" s="7" t="inlineStr">
        <is>
          <t>Houston-Pasadena, TX</t>
        </is>
      </c>
      <c r="E37" s="9" t="n"/>
      <c r="F37" s="9" t="n">
        <v>8</v>
      </c>
      <c r="G37" s="10">
        <f>AVERAGE(E37:F37)</f>
        <v/>
      </c>
      <c r="H37" s="7">
        <f>IF(G37&lt;=Method!$B$4,"High pollution","Low pollution")</f>
        <v/>
      </c>
      <c r="I37" s="7" t="inlineStr">
        <is>
          <t>"air pollution" OR "air quality"</t>
        </is>
      </c>
      <c r="J37" s="7" t="n">
        <v>38381323</v>
      </c>
      <c r="K37" s="7" t="inlineStr">
        <is>
          <t>Texas, United States - State &amp; Local</t>
        </is>
      </c>
      <c r="L37" s="7" t="n">
        <v>593</v>
      </c>
      <c r="M37" s="7" t="n">
        <v>6474</v>
      </c>
      <c r="N37" s="10">
        <f>M37/L37</f>
        <v/>
      </c>
      <c r="O37" s="7">
        <f>RANK(N37,$N$2:$N$37,0)</f>
        <v/>
      </c>
      <c r="P37" s="7">
        <f>IF(N37&gt;=Method!$B$5,"High coverage","Low coverage")</f>
        <v/>
      </c>
      <c r="Q37" s="7" t="inlineStr">
        <is>
          <t>("air pollution" OR "air quality") AND "Pasadena"</t>
        </is>
      </c>
      <c r="R37" s="7" t="n">
        <v>38381323</v>
      </c>
      <c r="S37" s="7" t="inlineStr">
        <is>
          <t>Texas, United States - State &amp; Local</t>
        </is>
      </c>
      <c r="T37" s="7" t="n">
        <v>593</v>
      </c>
      <c r="U37" s="7" t="n">
        <v>81</v>
      </c>
      <c r="V37" s="10">
        <f>U37/T37</f>
        <v/>
      </c>
      <c r="W37" s="7">
        <f>RANK(V37,$V$2:$V$37,0)</f>
        <v/>
      </c>
      <c r="X37" s="7">
        <f>IF(V37&gt;=Method!$B$6,"High coverage","Low coverage")</f>
        <v/>
      </c>
      <c r="Y37" s="7">
        <f>O37-W37</f>
        <v/>
      </c>
      <c r="Z37" s="7">
        <f>H37&amp;" / "&amp;P37</f>
        <v/>
      </c>
      <c r="AA37" s="7">
        <f>H37&amp;" / "&amp;X37</f>
        <v/>
      </c>
      <c r="AB37" s="7">
        <f>IF(Z37=AA37,"No","Yes")</f>
        <v/>
      </c>
      <c r="AC37" s="7" t="inlineStr">
        <is>
          <t>Also a city in CA</t>
        </is>
      </c>
      <c r="AD37" s="7" t="inlineStr">
        <is>
          <t>https://search.mediacloud.org/api/search/total-count?q="air pollution" OR "air quality"&amp;start=2024-09-25&amp;end=2026-09-25&amp;cs=38381323&amp;platform=onlinenews-mediacloud</t>
        </is>
      </c>
      <c r="AE37" s="7" t="inlineStr">
        <is>
          <t>https://search.mediacloud.org/api/search/total-count?q=%28%22air+pollution%22+OR+%22air+quality%22%29+AND+%22Pasadena%22&amp;start=2024-09-25&amp;end=2026-09-25&amp;cs=38381323&amp;platform=onlinenews-mediacloud</t>
        </is>
      </c>
    </row>
  </sheetData>
  <autoFilter ref="A1:AE37"/>
  <conditionalFormatting sqref="Z2:Z37">
    <cfRule type="expression" priority="1" dxfId="0">
      <formula>Z2="High pollution / Low coverage"</formula>
    </cfRule>
    <cfRule type="expression" priority="2" dxfId="1">
      <formula>Z2="High pollution / High coverage"</formula>
    </cfRule>
    <cfRule type="expression" priority="3" dxfId="2">
      <formula>Z2="Low pollution / High coverage"</formula>
    </cfRule>
    <cfRule type="expression" priority="4" dxfId="3">
      <formula>Z2="Low pollution / Low coverage"</formula>
    </cfRule>
  </conditionalFormatting>
  <conditionalFormatting sqref="AA2:AA37">
    <cfRule type="expression" priority="5" dxfId="0">
      <formula>AA2="High pollution / Low coverage"</formula>
    </cfRule>
    <cfRule type="expression" priority="6" dxfId="1">
      <formula>AA2="High pollution / High coverage"</formula>
    </cfRule>
    <cfRule type="expression" priority="7" dxfId="2">
      <formula>AA2="Low pollution / High coverage"</formula>
    </cfRule>
    <cfRule type="expression" priority="8" dxfId="3">
      <formula>AA2="Low pollution / Low coverage"</formula>
    </cfRule>
  </conditionalFormatting>
  <conditionalFormatting sqref="AB2:AB37">
    <cfRule type="expression" priority="9" dxfId="4">
      <formula>AB2="Yes"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20" customWidth="1" min="3" max="3"/>
  </cols>
  <sheetData>
    <row r="1">
      <c r="A1" s="11" t="inlineStr">
        <is>
          <t>Method &amp; thresholds</t>
        </is>
      </c>
    </row>
    <row r="3">
      <c r="A3" s="12" t="inlineStr">
        <is>
          <t>Threshold</t>
        </is>
      </c>
      <c r="B3" s="12" t="inlineStr">
        <is>
          <t>Value</t>
        </is>
      </c>
      <c r="C3" s="12" t="inlineStr">
        <is>
          <t>Definition</t>
        </is>
      </c>
    </row>
    <row r="4">
      <c r="A4" s="7" t="inlineStr">
        <is>
          <t>Pollution threshold</t>
        </is>
      </c>
      <c r="B4" s="10">
        <f>MEDIAN(Comparison!G2:G37)</f>
        <v/>
      </c>
      <c r="C4" s="7" t="inlineStr">
        <is>
          <t>Median pollution_score across all 36 city rows. pollution_score = average of ALA short-term and year-round PM2.5 ranks (lower = worse air). High pollution = score ≤ threshold.</t>
        </is>
      </c>
    </row>
    <row r="5">
      <c r="A5" s="7" t="inlineStr">
        <is>
          <t>State coverage threshold</t>
        </is>
      </c>
      <c r="B5" s="10">
        <f>MEDIAN(States!H2:H11)</f>
        <v/>
      </c>
      <c r="C5" s="7" t="inlineStr">
        <is>
          <t>Median state_index across the 10 state collections. High coverage = state_index ≥ threshold.</t>
        </is>
      </c>
    </row>
    <row r="6">
      <c r="A6" s="7" t="inlineStr">
        <is>
          <t>City coverage threshold</t>
        </is>
      </c>
      <c r="B6" s="10">
        <f>MEDIAN(Comparison!V2:V37)</f>
        <v/>
      </c>
      <c r="C6" s="7" t="inlineStr">
        <is>
          <t>Median city_index across the 36 city queries. High coverage = city_index ≥ threshold.</t>
        </is>
      </c>
    </row>
    <row r="8">
      <c r="A8" s="12" t="inlineStr">
        <is>
          <t>Notes</t>
        </is>
      </c>
    </row>
    <row r="9">
      <c r="A9" s="7" t="inlineStr">
        <is>
          <t>State-level data: copied from the user-supplied file news_coverage_by_state_cross_pm.numbers (query "air pollution" OR "air quality" in each state collection).</t>
        </is>
      </c>
    </row>
    <row r="10">
      <c r="A10" s="7" t="inlineStr">
        <is>
          <t>City-level data: Media Cloud API, query ("air pollution" OR "air quality") AND "[city]" in the city's own state collection, 2024-09-25 to 2026-09-25, platform onlinenews-mediacloud.</t>
        </is>
      </c>
    </row>
    <row r="11">
      <c r="A11" s="7" t="inlineStr">
        <is>
          <t>Pittsburgh-Weirton-Steubenville: Pittsburgh searched in Pennsylvania, Weirton in West Virginia, Steubenville in Ohio; each row uses that state's state-level data.</t>
        </is>
      </c>
    </row>
    <row r="12">
      <c r="A12" s="7" t="inlineStr">
        <is>
          <t>San Diego-Chula Vista-Carlsbad and Houston-Pasadena have no ALA short-term rank; their pollution_score uses the year-round rank only.</t>
        </is>
      </c>
    </row>
    <row r="13">
      <c r="A13" s="7" t="inlineStr">
        <is>
          <t>Ranks: 1 = highest index. Ties share a rank (state-level ranks tie for every city in the same state). rank_change &gt; 0 means the city ranks higher on city-level mentions than on state-level mentions.</t>
        </is>
      </c>
    </row>
    <row r="14">
      <c r="A14" s="7" t="inlineStr">
        <is>
          <t>Ambiguous city names (see city_ambiguity_note) may inflate city-level counts.</t>
        </is>
      </c>
    </row>
    <row r="15">
      <c r="A15" s="7" t="inlineStr">
        <is>
          <t>Column colors: blue = identity, orange = ALA rankings, green = state-level coverage, yellow = city-level coverage, purple = comparison, grey = reference.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40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state_abbr</t>
        </is>
      </c>
      <c r="B1" s="13" t="inlineStr">
        <is>
          <t>State</t>
        </is>
      </c>
      <c r="C1" s="13" t="inlineStr">
        <is>
          <t>query_mediacloud</t>
        </is>
      </c>
      <c r="D1" s="13" t="inlineStr">
        <is>
          <t>collection_id_cs</t>
        </is>
      </c>
      <c r="E1" s="13" t="inlineStr">
        <is>
          <t>collection_name</t>
        </is>
      </c>
      <c r="F1" s="13" t="inlineStr">
        <is>
          <t>total_sources_in_collection</t>
        </is>
      </c>
      <c r="G1" s="13" t="inlineStr">
        <is>
          <t>total_stories</t>
        </is>
      </c>
      <c r="H1" s="13" t="inlineStr">
        <is>
          <t>index_stories_sources</t>
        </is>
      </c>
    </row>
    <row r="2">
      <c r="A2" s="7" t="inlineStr">
        <is>
          <t>CA</t>
        </is>
      </c>
      <c r="B2" s="7" t="inlineStr">
        <is>
          <t>California</t>
        </is>
      </c>
      <c r="C2" s="7" t="inlineStr">
        <is>
          <t>"air pollution" OR "air quality"</t>
        </is>
      </c>
      <c r="D2" s="7" t="n">
        <v>38380550</v>
      </c>
      <c r="E2" s="7" t="inlineStr">
        <is>
          <t>California, United States -State &amp; Local</t>
        </is>
      </c>
      <c r="F2" s="7" t="n">
        <v>1283</v>
      </c>
      <c r="G2" s="7" t="n">
        <v>26181</v>
      </c>
      <c r="H2" s="10">
        <f>G2/F2</f>
        <v/>
      </c>
    </row>
    <row r="3">
      <c r="A3" s="7" t="inlineStr">
        <is>
          <t>OR</t>
        </is>
      </c>
      <c r="B3" s="7" t="inlineStr">
        <is>
          <t>Oregon</t>
        </is>
      </c>
      <c r="C3" s="7" t="inlineStr">
        <is>
          <t>"air pollution" OR "air quality"</t>
        </is>
      </c>
      <c r="D3" s="7" t="n">
        <v>38381398</v>
      </c>
      <c r="E3" s="7" t="inlineStr">
        <is>
          <t>Oregon, United States - State &amp; Local</t>
        </is>
      </c>
      <c r="F3" s="7" t="n">
        <v>145</v>
      </c>
      <c r="G3" s="7" t="n">
        <v>1845</v>
      </c>
      <c r="H3" s="10">
        <f>G3/F3</f>
        <v/>
      </c>
    </row>
    <row r="4">
      <c r="A4" s="7" t="inlineStr">
        <is>
          <t>TX</t>
        </is>
      </c>
      <c r="B4" s="7" t="inlineStr">
        <is>
          <t>Texas</t>
        </is>
      </c>
      <c r="C4" s="7" t="inlineStr">
        <is>
          <t>"air pollution" OR "air quality"</t>
        </is>
      </c>
      <c r="D4" s="7" t="n">
        <v>38381323</v>
      </c>
      <c r="E4" s="7" t="inlineStr">
        <is>
          <t>Texas, United States - State &amp; Local</t>
        </is>
      </c>
      <c r="F4" s="7" t="n">
        <v>593</v>
      </c>
      <c r="G4" s="7" t="n">
        <v>6474</v>
      </c>
      <c r="H4" s="10">
        <f>G4/F4</f>
        <v/>
      </c>
    </row>
    <row r="5">
      <c r="A5" s="7" t="inlineStr">
        <is>
          <t>AK</t>
        </is>
      </c>
      <c r="B5" s="7" t="inlineStr">
        <is>
          <t>Alaska</t>
        </is>
      </c>
      <c r="C5" s="7" t="inlineStr">
        <is>
          <t>"air pollution" OR "air quality"</t>
        </is>
      </c>
      <c r="D5" s="7" t="n">
        <v>38381315</v>
      </c>
      <c r="E5" s="7" t="inlineStr">
        <is>
          <t>Alaska, United States - State &amp; Local</t>
        </is>
      </c>
      <c r="F5" s="7" t="n">
        <v>77</v>
      </c>
      <c r="G5" s="7" t="n">
        <v>562</v>
      </c>
      <c r="H5" s="10">
        <f>G5/F5</f>
        <v/>
      </c>
    </row>
    <row r="6">
      <c r="A6" s="7" t="inlineStr">
        <is>
          <t>MI</t>
        </is>
      </c>
      <c r="B6" s="7" t="inlineStr">
        <is>
          <t>Michigan</t>
        </is>
      </c>
      <c r="C6" s="7" t="inlineStr">
        <is>
          <t>"air pollution" OR "air quality"</t>
        </is>
      </c>
      <c r="D6" s="7" t="n">
        <v>38381374</v>
      </c>
      <c r="E6" s="7" t="inlineStr">
        <is>
          <t>Michigan, United States - State &amp; Local</t>
        </is>
      </c>
      <c r="F6" s="7" t="n">
        <v>203</v>
      </c>
      <c r="G6" s="7" t="n">
        <v>4672</v>
      </c>
      <c r="H6" s="10">
        <f>G6/F6</f>
        <v/>
      </c>
    </row>
    <row r="7">
      <c r="A7" s="7" t="inlineStr">
        <is>
          <t>IN</t>
        </is>
      </c>
      <c r="B7" s="7" t="inlineStr">
        <is>
          <t>Indiana</t>
        </is>
      </c>
      <c r="C7" s="7" t="inlineStr">
        <is>
          <t>"air pollution" OR "air quality"</t>
        </is>
      </c>
      <c r="D7" s="7" t="n">
        <v>38381358</v>
      </c>
      <c r="E7" s="7" t="inlineStr">
        <is>
          <t>Indiana, United States - State &amp; Local</t>
        </is>
      </c>
      <c r="F7" s="7" t="n">
        <v>167</v>
      </c>
      <c r="G7" s="7" t="n">
        <v>2150</v>
      </c>
      <c r="H7" s="10">
        <f>G7/F7</f>
        <v/>
      </c>
    </row>
    <row r="8">
      <c r="A8" s="7" t="inlineStr">
        <is>
          <t>PA</t>
        </is>
      </c>
      <c r="B8" s="7" t="inlineStr">
        <is>
          <t>Pennsylvania</t>
        </is>
      </c>
      <c r="C8" s="7" t="inlineStr">
        <is>
          <t>"air pollution" OR "air quality"</t>
        </is>
      </c>
      <c r="D8" s="7" t="n">
        <v>38381340</v>
      </c>
      <c r="E8" s="7" t="inlineStr">
        <is>
          <t>Pennsylvania, United States - State &amp; Local</t>
        </is>
      </c>
      <c r="F8" s="7" t="n">
        <v>249</v>
      </c>
      <c r="G8" s="7" t="n">
        <v>5046</v>
      </c>
      <c r="H8" s="10">
        <f>G8/F8</f>
        <v/>
      </c>
    </row>
    <row r="9">
      <c r="A9" s="7" t="inlineStr">
        <is>
          <t>OH</t>
        </is>
      </c>
      <c r="B9" s="7" t="inlineStr">
        <is>
          <t>Ohio</t>
        </is>
      </c>
      <c r="C9" s="7" t="inlineStr">
        <is>
          <t>"air pollution" OR "air quality"</t>
        </is>
      </c>
      <c r="D9" s="7" t="n">
        <v>38381394</v>
      </c>
      <c r="E9" s="7" t="inlineStr">
        <is>
          <t>Ohio, United States - State &amp; Local</t>
        </is>
      </c>
      <c r="F9" s="7" t="n">
        <v>256</v>
      </c>
      <c r="G9" s="7" t="n">
        <v>3010</v>
      </c>
      <c r="H9" s="10">
        <f>G9/F9</f>
        <v/>
      </c>
    </row>
    <row r="10">
      <c r="A10" s="7" t="inlineStr">
        <is>
          <t>WV</t>
        </is>
      </c>
      <c r="B10" s="7" t="inlineStr">
        <is>
          <t>West Virginia</t>
        </is>
      </c>
      <c r="C10" s="7" t="inlineStr">
        <is>
          <t>"air pollution" OR "air quality"</t>
        </is>
      </c>
      <c r="D10" s="7" t="n">
        <v>38381408</v>
      </c>
      <c r="E10" s="7" t="inlineStr">
        <is>
          <t>West Virginia, United States - State &amp; Local</t>
        </is>
      </c>
      <c r="F10" s="7" t="n">
        <v>81</v>
      </c>
      <c r="G10" s="7" t="n">
        <v>1754</v>
      </c>
      <c r="H10" s="10">
        <f>G10/F10</f>
        <v/>
      </c>
    </row>
    <row r="11">
      <c r="A11" s="7" t="inlineStr">
        <is>
          <t>AZ</t>
        </is>
      </c>
      <c r="B11" s="7" t="inlineStr">
        <is>
          <t>Arizona</t>
        </is>
      </c>
      <c r="C11" s="7" t="inlineStr">
        <is>
          <t>"air pollution" OR "air quality"</t>
        </is>
      </c>
      <c r="D11" s="7" t="n">
        <v>38381317</v>
      </c>
      <c r="E11" s="7" t="inlineStr">
        <is>
          <t>Arizona, United States - State &amp; Local</t>
        </is>
      </c>
      <c r="F11" s="7" t="n">
        <v>139</v>
      </c>
      <c r="G11" s="7" t="n">
        <v>1211</v>
      </c>
      <c r="H11" s="10">
        <f>G11/F11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2026-09-27T13:28:38Z</dcterms:created>
  <dcterms:modified xsi:type="dcterms:W3CDTF">2026-09-27T13:28:38Z</dcterms:modified>
</cp:coreProperties>
</file>